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61ec4ac66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ue pricing" sheetId="1" r:id="R21dbeb2550934df8"/>
    <x:sheet xmlns:r="http://schemas.openxmlformats.org/officeDocument/2006/relationships" name="Booking fees" sheetId="2" r:id="R5671a5cd643b41ff"/>
    <x:sheet xmlns:r="http://schemas.openxmlformats.org/officeDocument/2006/relationships" name="Expedited surcharge" sheetId="3" r:id="R652d2c71ceb34abe"/>
    <x:sheet xmlns:r="http://schemas.openxmlformats.org/officeDocument/2006/relationships" name="Security deposits" sheetId="4" r:id="R0a1d607b1cf5480b"/>
    <x:sheet xmlns:r="http://schemas.openxmlformats.org/officeDocument/2006/relationships" name="Overtime" sheetId="5" r:id="R80e845bfc0e44730"/>
    <x:sheet xmlns:r="http://schemas.openxmlformats.org/officeDocument/2006/relationships" name="Payment rules" sheetId="6" r:id="Rabf9523156f24752"/>
    <x:sheet xmlns:r="http://schemas.openxmlformats.org/officeDocument/2006/relationships" name="Cancellation &amp; refunds" sheetId="7" r:id="R8ce925a37931427e"/>
    <x:sheet xmlns:r="http://schemas.openxmlformats.org/officeDocument/2006/relationships" name="VAT categories" sheetId="8" r:id="R467f32cf7bc24ac4"/>
    <x:sheet xmlns:r="http://schemas.openxmlformats.org/officeDocument/2006/relationships" name="Class cancellation charges" sheetId="9" r:id="R931c8d8667024c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€#,##0.00"/>
    <x:numFmt numFmtId="201" formatCode="0%"/>
    <x:numFmt numFmtId="202" formatCode="0.00"/>
    <x:numFmt numFmtId="203" formatCode="yyyy-mm-dd"/>
    <x:numFmt numFmtId="204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2F3733"/>
      <x:name val="Carlito"/>
    </x:font>
    <x:font>
      <x:b/>
      <x:sz val="9"/>
      <x:color rgb="FF5B665F"/>
      <x:name val="Carlito"/>
    </x:font>
    <x:font>
      <x:b/>
      <x:sz val="10"/>
      <x:color rgb="FF2F3733"/>
      <x:name val="Carlito"/>
    </x:font>
    <x:font>
      <x:b/>
      <x:sz val="16"/>
      <x:color rgb="FF2F3733"/>
      <x:name val="Carlito"/>
    </x:font>
    <x:font>
      <x:b/>
      <x:sz val="9"/>
      <x:color rgb="FF2F3733"/>
      <x:name val="Carlito"/>
    </x:font>
    <x:font>
      <x:sz val="11"/>
      <x:color rgb="FF2F3733"/>
      <x:name val="Carlito"/>
    </x:font>
    <x:font>
      <x:b/>
      <x:sz val="11"/>
      <x:color rgb="FF2F3733"/>
      <x:name val="Carlito"/>
    </x:font>
    <x:font>
      <x:i/>
      <x:sz val="10"/>
      <x:color rgb="FF7A665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65C55"/>
      </x:patternFill>
    </x:fill>
    <x:fill>
      <x:patternFill patternType="solid">
        <x:fgColor rgb="FFF4F0E8"/>
      </x:patternFill>
    </x:fill>
    <x:fill>
      <x:patternFill patternType="solid">
        <x:fgColor rgb="FFFAF8F3"/>
      </x:patternFill>
    </x:fill>
    <x:fill>
      <x:patternFill patternType="solid">
        <x:fgColor rgb="FFDCE7E2"/>
      </x:patternFill>
    </x:fill>
    <x:fill>
      <x:patternFill patternType="solid">
        <x:fgColor rgb="FFE9EFEA"/>
      </x:patternFill>
    </x:fill>
    <x:fill>
      <x:patternFill patternType="solid">
        <x:fgColor rgb="FFF5F1EA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left" vertical="center"/>
    </x:xf>
    <x:xf numFmtId="0" fontId="6" fillId="4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top" wrapText="1"/>
    </x:xf>
    <x:xf numFmtId="202" fontId="2" fillId="0" borderId="1" xfId="0" applyNumberFormat="1" applyFont="1" applyFill="1" applyBorder="1" applyAlignment="1">
      <x:alignment vertical="top" wrapText="1"/>
    </x:xf>
    <x:xf numFmtId="203" fontId="2" fillId="0" borderId="0" xfId="0" applyNumberFormat="1" applyFont="1" applyFill="1" applyBorder="1" applyAlignment="1">
      <x:alignment vertical="top" wrapText="1"/>
    </x:xf>
    <x:xf numFmtId="203" fontId="2" fillId="0" borderId="1" xfId="0" applyNumberFormat="1" applyFont="1" applyFill="1" applyBorder="1" applyAlignment="1">
      <x:alignment vertical="top" wrapText="1"/>
    </x:xf>
    <x:xf numFmtId="204" fontId="2" fillId="0" borderId="0" xfId="0" applyNumberFormat="1" applyFont="1" applyFill="1" applyBorder="1" applyAlignment="1">
      <x:alignment vertical="top" wrapText="1"/>
    </x:xf>
    <x:xf numFmtId="204" fontId="2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7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200" fontId="2" fillId="7" borderId="0" xfId="0" applyNumberFormat="1" applyFont="1" applyFill="1" applyBorder="1" applyAlignment="1">
      <x:alignment vertical="top" wrapText="1"/>
    </x:xf>
    <x:xf numFmtId="201" fontId="2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ont>
        <x:b/>
        <x:color rgb="FF355E3B"/>
      </x:font>
      <x:fill>
        <x:patternFill>
          <x:bgColor rgb="FFE2F0D9"/>
        </x:patternFill>
      </x:fill>
    </x:dxf>
    <x:dxf>
      <x:font>
        <x:b/>
        <x:color rgb="FF7A5A00"/>
      </x:font>
      <x:fill>
        <x:patternFill>
          <x:bgColor rgb="FFFFF2CC"/>
        </x:patternFill>
      </x:fill>
    </x:dxf>
    <x:dxf>
      <x:font>
        <x:b/>
        <x:color rgb="FF9C2F22"/>
      </x:font>
      <x:fill>
        <x:patternFill>
          <x:bgColor rgb="FFFCE8E6"/>
        </x:patternFill>
      </x:fill>
    </x:dxf>
    <x:dxf>
      <x:font>
        <x:b/>
        <x:color rgb="FF355E3B"/>
      </x:font>
      <x:fill>
        <x:patternFill>
          <x:bgColor rgb="FFE2F0D9"/>
        </x:patternFill>
      </x:fill>
    </x:dxf>
    <x:dxf>
      <x:font>
        <x:b/>
        <x:color rgb="FF7A5A00"/>
      </x:font>
      <x:fill>
        <x:patternFill>
          <x:bgColor rgb="FFFFF2CC"/>
        </x:patternFill>
      </x:fill>
    </x:dxf>
    <x:dxf>
      <x:font>
        <x:b/>
        <x:color rgb="FF9C2F22"/>
      </x:font>
      <x:fill>
        <x:patternFill>
          <x:bgColor rgb="FFFCE8E6"/>
        </x:patternFill>
      </x:fill>
    </x:dxf>
    <x:dxf>
      <x:font>
        <x:b/>
        <x:color rgb="FF355E3B"/>
      </x:font>
      <x:fill>
        <x:patternFill>
          <x:bgColor rgb="FFE2F0D9"/>
        </x:patternFill>
      </x:fill>
    </x:dxf>
    <x:dxf>
      <x:font>
        <x:b/>
        <x:color rgb="FF7A5A00"/>
      </x:font>
      <x:fill>
        <x:patternFill>
          <x:bgColor rgb="FFFFF2CC"/>
        </x:patternFill>
      </x:fill>
    </x:dxf>
    <x:dxf>
      <x:font>
        <x:b/>
        <x:color rgb="FF9C2F22"/>
      </x:font>
      <x:fill>
        <x:patternFill>
          <x:bgColor rgb="FFFCE8E6"/>
        </x:patternFill>
      </x:fill>
    </x:dxf>
    <x:dxf>
      <x:font>
        <x:b/>
        <x:color rgb="FF355E3B"/>
      </x:font>
      <x:fill>
        <x:patternFill>
          <x:bgColor rgb="FFE2F0D9"/>
        </x:patternFill>
      </x:fill>
    </x:dxf>
    <x:dxf>
      <x:font>
        <x:b/>
        <x:color rgb="FF7A5A00"/>
      </x:font>
      <x:fill>
        <x:patternFill>
          <x:bgColor rgb="FFFFF2CC"/>
        </x:patternFill>
      </x:fill>
    </x:dxf>
    <x:dxf>
      <x:font>
        <x:b/>
        <x:color rgb="FF9C2F22"/>
      </x:font>
      <x:fill>
        <x:patternFill>
          <x:bgColor rgb="FFFCE8E6"/>
        </x:patternFill>
      </x:fill>
    </x:dxf>
    <x:dxf>
      <x:font>
        <x:b/>
        <x:color rgb="FF355E3B"/>
      </x:font>
      <x:fill>
        <x:patternFill>
          <x:bgColor rgb="FFE2F0D9"/>
        </x:patternFill>
      </x:fill>
    </x:dxf>
    <x:dxf>
      <x:font>
        <x:b/>
        <x:color rgb="FF7A5A00"/>
      </x:font>
      <x:fill>
        <x:patternFill>
          <x:bgColor rgb="FFFFF2CC"/>
        </x:patternFill>
      </x:fill>
    </x:dxf>
    <x:dxf>
      <x:font>
        <x:b/>
        <x:color rgb="FF9C2F22"/>
      </x:font>
      <x:fill>
        <x:patternFill>
          <x:bgColor rgb="FFFCE8E6"/>
        </x:patternFill>
      </x:fill>
    </x:dxf>
    <x:dxf>
      <x:font>
        <x:b/>
        <x:color rgb="FF355E3B"/>
      </x:font>
      <x:fill>
        <x:patternFill>
          <x:bgColor rgb="FFE2F0D9"/>
        </x:patternFill>
      </x:fill>
    </x:dxf>
    <x:dxf>
      <x:font>
        <x:b/>
        <x:color rgb="FF7A5A00"/>
      </x:font>
      <x:fill>
        <x:patternFill>
          <x:bgColor rgb="FFFFF2CC"/>
        </x:patternFill>
      </x:fill>
    </x:dxf>
    <x:dxf>
      <x:font>
        <x:b/>
        <x:color rgb="FF9C2F22"/>
      </x:font>
      <x:fill>
        <x:patternFill>
          <x:bgColor rgb="FFFCE8E6"/>
        </x:patternFill>
      </x:fill>
    </x:dxf>
    <x:dxf>
      <x:font>
        <x:b/>
        <x:color rgb="FF355E3B"/>
      </x:font>
      <x:fill>
        <x:patternFill>
          <x:bgColor rgb="FFE2F0D9"/>
        </x:patternFill>
      </x:fill>
    </x:dxf>
    <x:dxf>
      <x:font>
        <x:b/>
        <x:color rgb="FF7A5A00"/>
      </x:font>
      <x:fill>
        <x:patternFill>
          <x:bgColor rgb="FFFFF2CC"/>
        </x:patternFill>
      </x:fill>
    </x:dxf>
    <x:dxf>
      <x:font>
        <x:b/>
        <x:color rgb="FF9C2F22"/>
      </x:font>
      <x:fill>
        <x:patternFill>
          <x:bgColor rgb="FFFCE8E6"/>
        </x:patternFill>
      </x:fill>
    </x:dxf>
    <x:dxf>
      <x:font>
        <x:b/>
        <x:color rgb="FF355E3B"/>
      </x:font>
      <x:fill>
        <x:patternFill>
          <x:bgColor rgb="FFE2F0D9"/>
        </x:patternFill>
      </x:fill>
    </x:dxf>
    <x:dxf>
      <x:font>
        <x:b/>
        <x:color rgb="FF7A5A00"/>
      </x:font>
      <x:fill>
        <x:patternFill>
          <x:bgColor rgb="FFFFF2CC"/>
        </x:patternFill>
      </x:fill>
    </x:dxf>
    <x:dxf>
      <x:font>
        <x:b/>
        <x:color rgb="FF9C2F22"/>
      </x:font>
      <x:fill>
        <x:patternFill>
          <x:bgColor rgb="FFFCE8E6"/>
        </x:patternFill>
      </x:fill>
    </x:dxf>
    <x:dxf>
      <x:font>
        <x:b/>
        <x:color rgb="FF355E3B"/>
      </x:font>
      <x:fill>
        <x:patternFill>
          <x:bgColor rgb="FFE2F0D9"/>
        </x:patternFill>
      </x:fill>
    </x:dxf>
    <x:dxf>
      <x:font>
        <x:b/>
        <x:color rgb="FF7A5A00"/>
      </x:font>
      <x:fill>
        <x:patternFill>
          <x:bgColor rgb="FFFFF2CC"/>
        </x:patternFill>
      </x:fill>
    </x:dxf>
    <x:dxf>
      <x:font>
        <x:b/>
        <x:color rgb="FF9C2F22"/>
      </x:font>
      <x:fill>
        <x:patternFill>
          <x:bgColor rgb="FFFCE8E6"/>
        </x:patternFill>
      </x:fill>
    </x:dxf>
    <x:dxf>
      <x:font>
        <x:b/>
        <x:color rgb="FF355E3B"/>
      </x:font>
      <x:fill>
        <x:patternFill>
          <x:bgColor rgb="FFE2F0D9"/>
        </x:patternFill>
      </x:fill>
    </x:dxf>
    <x:dxf>
      <x:font>
        <x:b/>
        <x:color rgb="FF7A5A00"/>
      </x:font>
      <x:fill>
        <x:patternFill>
          <x:bgColor rgb="FFFFF2CC"/>
        </x:patternFill>
      </x:fill>
    </x:dxf>
    <x:dxf>
      <x:font>
        <x:b/>
        <x:color rgb="FF9C2F22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4a3b31e994fdb" /><Relationship Type="http://schemas.openxmlformats.org/officeDocument/2006/relationships/theme" Target="/xl/theme/theme1.xml" Id="Rc425d19f965344d5" /><Relationship Type="http://schemas.openxmlformats.org/officeDocument/2006/relationships/sharedStrings" Target="/xl/sharedStrings.xml" Id="Re2b8bc5088284156" /><Relationship Type="http://schemas.openxmlformats.org/officeDocument/2006/relationships/worksheet" Target="/xl/worksheets/sheet1.xml" Id="R21dbeb2550934df8" /><Relationship Type="http://schemas.openxmlformats.org/officeDocument/2006/relationships/worksheet" Target="/xl/worksheets/sheet2.xml" Id="R5671a5cd643b41ff" /><Relationship Type="http://schemas.openxmlformats.org/officeDocument/2006/relationships/worksheet" Target="/xl/worksheets/sheet3.xml" Id="R652d2c71ceb34abe" /><Relationship Type="http://schemas.openxmlformats.org/officeDocument/2006/relationships/worksheet" Target="/xl/worksheets/sheet4.xml" Id="R0a1d607b1cf5480b" /><Relationship Type="http://schemas.openxmlformats.org/officeDocument/2006/relationships/worksheet" Target="/xl/worksheets/sheet5.xml" Id="R80e845bfc0e44730" /><Relationship Type="http://schemas.openxmlformats.org/officeDocument/2006/relationships/worksheet" Target="/xl/worksheets/sheet6.xml" Id="Rabf9523156f24752" /><Relationship Type="http://schemas.openxmlformats.org/officeDocument/2006/relationships/worksheet" Target="/xl/worksheets/sheet7.xml" Id="R8ce925a37931427e" /><Relationship Type="http://schemas.openxmlformats.org/officeDocument/2006/relationships/worksheet" Target="/xl/worksheets/sheet8.xml" Id="R467f32cf7bc24ac4" /><Relationship Type="http://schemas.openxmlformats.org/officeDocument/2006/relationships/worksheet" Target="/xl/worksheets/sheet9.xml" Id="R931c8d8667024c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6" hidden="0" customWidth="1"/>
    <x:col min="4" max="4" width="16" hidden="0" customWidth="1"/>
    <x:col min="5" max="5" width="22" hidden="0" customWidth="1"/>
    <x:col min="6" max="6" width="27" hidden="0" customWidth="1"/>
    <x:col min="7" max="7" width="15" hidden="0" customWidth="1"/>
    <x:col min="8" max="8" width="11" hidden="0" customWidth="1"/>
    <x:col min="9" max="9" width="15" hidden="0" customWidth="1"/>
    <x:col min="10" max="10" width="20" hidden="0" customWidth="1"/>
    <x:col min="11" max="11" width="20" hidden="0" customWidth="1"/>
    <x:col min="12" max="12" width="22" hidden="0" customWidth="1"/>
    <x:col min="13" max="13" width="48" hidden="0" customWidth="1"/>
  </x:cols>
  <x:sheetData>
    <x:row r="1" ht="30" customHeight="1">
      <x:c r="A1" s="62" t="str">
        <x:v>WNC Rental Pricing, Fees &amp; Payment Rules — Venue Pricing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</x:row>
    <x:row r="2" ht="42" customHeight="1">
      <x:c r="A2" s="13" t="str">
        <x:v>Current 2026 venue rates by rental type, duration, day type and pricing period. Rates are taken from the Updated Rental Lookbook 2026; the exact effective date within 2026 remains TBC.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 ht="28" customHeight="1">
      <x:c r="A3" s="45" t="str">
        <x:v>AUTHORITATIVE COMMERCIAL MASTER  |  Amounts are excluding 21% VAT unless stated otherwise. The 1:1 / Podcast Room remains a custom-scope rental with a published hourly baseline.</x:v>
      </x:c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  <x:c r="K4" s="63"/>
      <x:c r="L4" s="63"/>
      <x:c r="M4" s="63"/>
    </x:row>
    <x:row r="5" ht="32" customHeight="1">
      <x:c r="A5" s="29" t="str">
        <x:v>Price ID</x:v>
      </x:c>
      <x:c r="B5" s="29" t="str">
        <x:v>Rental type</x:v>
      </x:c>
      <x:c r="C5" s="29" t="str">
        <x:v>Price basis</x:v>
      </x:c>
      <x:c r="D5" s="29" t="str">
        <x:v>Duration / unit</x:v>
      </x:c>
      <x:c r="E5" s="29" t="str">
        <x:v>Day type</x:v>
      </x:c>
      <x:c r="F5" s="29" t="str">
        <x:v>Peak / off-peak</x:v>
      </x:c>
      <x:c r="G5" s="29" t="str">
        <x:v>Price excl. VAT</x:v>
      </x:c>
      <x:c r="H5" s="29" t="str">
        <x:v>VAT rate</x:v>
      </x:c>
      <x:c r="I5" s="29" t="str">
        <x:v>Price incl. VAT</x:v>
      </x:c>
      <x:c r="J5" s="29" t="str">
        <x:v>Effective date</x:v>
      </x:c>
      <x:c r="K5" s="29" t="str">
        <x:v>Rule status</x:v>
      </x:c>
      <x:c r="L5" s="29" t="str">
        <x:v>Management confirmation</x:v>
      </x:c>
      <x:c r="M5" s="29" t="str">
        <x:v>Notes</x:v>
      </x:c>
    </x:row>
    <x:row r="6" ht="36" customHeight="1">
      <x:c r="A6" s="36" t="str">
        <x:v>VP-001</x:v>
      </x:c>
      <x:c r="B6" s="36" t="str">
        <x:v>Studio Space</x:v>
      </x:c>
      <x:c r="C6" s="36" t="str">
        <x:v>Hourly</x:v>
      </x:c>
      <x:c r="D6" s="36" t="str">
        <x:v>1 hour</x:v>
      </x:c>
      <x:c r="E6" s="36" t="str">
        <x:v>Weekday</x:v>
      </x:c>
      <x:c r="F6" s="36" t="str">
        <x:v>Off-peak (09:00–17:00)</x:v>
      </x:c>
      <x:c r="G6" s="40" t="n">
        <x:v>90</x:v>
      </x:c>
      <x:c r="H6" s="42" t="n">
        <x:v>0.21</x:v>
      </x:c>
      <x:c r="I6" s="40" t="n">
        <x:f>IF(G6="","",G6*(1+H6))</x:f>
        <x:v>108.89999999999999</x:v>
      </x:c>
      <x:c r="J6" s="36" t="str">
        <x:v>2026 — exact date TBC</x:v>
      </x:c>
      <x:c r="K6" s="36" t="str">
        <x:v>Final</x:v>
      </x:c>
      <x:c r="L6" s="36" t="str">
        <x:v>No</x:v>
      </x:c>
      <x:c r="M6" s="36" t="str">
        <x:v>Updated Rental Lookbook 2026, p. 7.</x:v>
      </x:c>
    </x:row>
    <x:row r="7" ht="36" customHeight="1">
      <x:c r="A7" s="36" t="str">
        <x:v>VP-002</x:v>
      </x:c>
      <x:c r="B7" s="36" t="str">
        <x:v>Studio Space</x:v>
      </x:c>
      <x:c r="C7" s="36" t="str">
        <x:v>Half-day</x:v>
      </x:c>
      <x:c r="D7" s="36" t="str">
        <x:v>4 hours</x:v>
      </x:c>
      <x:c r="E7" s="36" t="str">
        <x:v>Weekday</x:v>
      </x:c>
      <x:c r="F7" s="36" t="str">
        <x:v>Off-peak (09:00–17:00)</x:v>
      </x:c>
      <x:c r="G7" s="40" t="n">
        <x:v>342</x:v>
      </x:c>
      <x:c r="H7" s="42" t="n">
        <x:v>0.21</x:v>
      </x:c>
      <x:c r="I7" s="40" t="n">
        <x:f>IF(G7="","",G7*(1+H7))</x:f>
        <x:v>413.82</x:v>
      </x:c>
      <x:c r="J7" s="36" t="str">
        <x:v>2026 — exact date TBC</x:v>
      </x:c>
      <x:c r="K7" s="36" t="str">
        <x:v>Final</x:v>
      </x:c>
      <x:c r="L7" s="36" t="str">
        <x:v>No</x:v>
      </x:c>
      <x:c r="M7" s="36" t="str">
        <x:v>Updated Rental Lookbook 2026, p. 7.</x:v>
      </x:c>
    </x:row>
    <x:row r="8" ht="36" customHeight="1">
      <x:c r="A8" s="36" t="str">
        <x:v>VP-003</x:v>
      </x:c>
      <x:c r="B8" s="36" t="str">
        <x:v>Studio Space</x:v>
      </x:c>
      <x:c r="C8" s="36" t="str">
        <x:v>Full-day</x:v>
      </x:c>
      <x:c r="D8" s="36" t="str">
        <x:v>8 hours</x:v>
      </x:c>
      <x:c r="E8" s="36" t="str">
        <x:v>Weekday</x:v>
      </x:c>
      <x:c r="F8" s="36" t="str">
        <x:v>Off-peak (09:00–17:00)</x:v>
      </x:c>
      <x:c r="G8" s="40" t="n">
        <x:v>648</x:v>
      </x:c>
      <x:c r="H8" s="42" t="n">
        <x:v>0.21</x:v>
      </x:c>
      <x:c r="I8" s="40" t="n">
        <x:f>IF(G8="","",G8*(1+H8))</x:f>
        <x:v>784.0799999999999</x:v>
      </x:c>
      <x:c r="J8" s="36" t="str">
        <x:v>2026 — exact date TBC</x:v>
      </x:c>
      <x:c r="K8" s="36" t="str">
        <x:v>Final</x:v>
      </x:c>
      <x:c r="L8" s="36" t="str">
        <x:v>No</x:v>
      </x:c>
      <x:c r="M8" s="36" t="str">
        <x:v>Updated Rental Lookbook 2026, p. 7.</x:v>
      </x:c>
    </x:row>
    <x:row r="9" ht="36" customHeight="1">
      <x:c r="A9" s="36" t="str">
        <x:v>VP-004</x:v>
      </x:c>
      <x:c r="B9" s="36" t="str">
        <x:v>Studio Space</x:v>
      </x:c>
      <x:c r="C9" s="36" t="str">
        <x:v>Hourly</x:v>
      </x:c>
      <x:c r="D9" s="36" t="str">
        <x:v>1 hour</x:v>
      </x:c>
      <x:c r="E9" s="36" t="str">
        <x:v>Weekday</x:v>
      </x:c>
      <x:c r="F9" s="36" t="str">
        <x:v>Peak hours (18:00–21:00)</x:v>
      </x:c>
      <x:c r="G9" s="40" t="n">
        <x:v>130</x:v>
      </x:c>
      <x:c r="H9" s="42" t="n">
        <x:v>0.21</x:v>
      </x:c>
      <x:c r="I9" s="40" t="n">
        <x:f>IF(G9="","",G9*(1+H9))</x:f>
        <x:v>157.29999999999998</x:v>
      </x:c>
      <x:c r="J9" s="36" t="str">
        <x:v>2026 — exact date TBC</x:v>
      </x:c>
      <x:c r="K9" s="36" t="str">
        <x:v>Final</x:v>
      </x:c>
      <x:c r="L9" s="36" t="str">
        <x:v>No</x:v>
      </x:c>
      <x:c r="M9" s="36" t="str">
        <x:v>Updated Rental Lookbook 2026, p. 7.</x:v>
      </x:c>
    </x:row>
    <x:row r="10" ht="36" customHeight="1">
      <x:c r="A10" s="74" t="str">
        <x:v>VP-005</x:v>
      </x:c>
      <x:c r="B10" s="74" t="str">
        <x:v>Studio Space</x:v>
      </x:c>
      <x:c r="C10" s="74" t="str">
        <x:v>Half-day</x:v>
      </x:c>
      <x:c r="D10" s="74" t="str">
        <x:v>4 hours</x:v>
      </x:c>
      <x:c r="E10" s="74" t="str">
        <x:v>Weekday</x:v>
      </x:c>
      <x:c r="F10" s="74" t="str">
        <x:v>Peak hours (18:00–21:00)</x:v>
      </x:c>
      <x:c r="G10" s="75"/>
      <x:c r="H10" s="76" t="n">
        <x:v>0.21</x:v>
      </x:c>
      <x:c r="I10" s="75" t="str">
        <x:f>IF(G10="","",G10*(1+H10))</x:f>
      </x:c>
      <x:c r="J10" s="74" t="str">
        <x:v>2026 — exact date TBC</x:v>
      </x:c>
      <x:c r="K10" s="77" t="str">
        <x:v>Not offered</x:v>
      </x:c>
      <x:c r="L10" s="74" t="str">
        <x:v>No</x:v>
      </x:c>
      <x:c r="M10" s="74" t="str">
        <x:v>No half-day peak-hours price is offered in the lookbook. Updated Rental Lookbook 2026, p. 7.</x:v>
      </x:c>
    </x:row>
    <x:row r="11" ht="36" customHeight="1">
      <x:c r="A11" s="74" t="str">
        <x:v>VP-006</x:v>
      </x:c>
      <x:c r="B11" s="74" t="str">
        <x:v>Studio Space</x:v>
      </x:c>
      <x:c r="C11" s="74" t="str">
        <x:v>Full-day</x:v>
      </x:c>
      <x:c r="D11" s="74" t="str">
        <x:v>8 hours</x:v>
      </x:c>
      <x:c r="E11" s="74" t="str">
        <x:v>Weekday</x:v>
      </x:c>
      <x:c r="F11" s="74" t="str">
        <x:v>Peak hours (18:00–21:00)</x:v>
      </x:c>
      <x:c r="G11" s="75"/>
      <x:c r="H11" s="76" t="n">
        <x:v>0.21</x:v>
      </x:c>
      <x:c r="I11" s="75" t="str">
        <x:f>IF(G11="","",G11*(1+H11))</x:f>
      </x:c>
      <x:c r="J11" s="74" t="str">
        <x:v>2026 — exact date TBC</x:v>
      </x:c>
      <x:c r="K11" s="77" t="str">
        <x:v>Not offered</x:v>
      </x:c>
      <x:c r="L11" s="74" t="str">
        <x:v>No</x:v>
      </x:c>
      <x:c r="M11" s="74" t="str">
        <x:v>No full-day peak-hours price is offered in the lookbook. Updated Rental Lookbook 2026, p. 7.</x:v>
      </x:c>
    </x:row>
    <x:row r="12" ht="36" customHeight="1">
      <x:c r="A12" s="36" t="str">
        <x:v>VP-007</x:v>
      </x:c>
      <x:c r="B12" s="36" t="str">
        <x:v>Studio Space</x:v>
      </x:c>
      <x:c r="C12" s="36" t="str">
        <x:v>Hourly</x:v>
      </x:c>
      <x:c r="D12" s="36" t="str">
        <x:v>1 hour</x:v>
      </x:c>
      <x:c r="E12" s="36" t="str">
        <x:v>Weekend</x:v>
      </x:c>
      <x:c r="F12" s="36" t="str">
        <x:v>Weekend</x:v>
      </x:c>
      <x:c r="G12" s="40" t="n">
        <x:v>180</x:v>
      </x:c>
      <x:c r="H12" s="42" t="n">
        <x:v>0.21</x:v>
      </x:c>
      <x:c r="I12" s="40" t="n">
        <x:f>IF(G12="","",G12*(1+H12))</x:f>
        <x:v>217.79999999999998</x:v>
      </x:c>
      <x:c r="J12" s="36" t="str">
        <x:v>2026 — exact date TBC</x:v>
      </x:c>
      <x:c r="K12" s="36" t="str">
        <x:v>Final</x:v>
      </x:c>
      <x:c r="L12" s="36" t="str">
        <x:v>No</x:v>
      </x:c>
      <x:c r="M12" s="36" t="str">
        <x:v>Updated Rental Lookbook 2026, p. 7.</x:v>
      </x:c>
    </x:row>
    <x:row r="13" ht="36" customHeight="1">
      <x:c r="A13" s="36" t="str">
        <x:v>VP-008</x:v>
      </x:c>
      <x:c r="B13" s="36" t="str">
        <x:v>Studio Space</x:v>
      </x:c>
      <x:c r="C13" s="36" t="str">
        <x:v>Half-day</x:v>
      </x:c>
      <x:c r="D13" s="36" t="str">
        <x:v>4 hours</x:v>
      </x:c>
      <x:c r="E13" s="36" t="str">
        <x:v>Weekend</x:v>
      </x:c>
      <x:c r="F13" s="36" t="str">
        <x:v>Weekend</x:v>
      </x:c>
      <x:c r="G13" s="40" t="n">
        <x:v>684</x:v>
      </x:c>
      <x:c r="H13" s="42" t="n">
        <x:v>0.21</x:v>
      </x:c>
      <x:c r="I13" s="40" t="n">
        <x:f>IF(G13="","",G13*(1+H13))</x:f>
        <x:v>827.64</x:v>
      </x:c>
      <x:c r="J13" s="36" t="str">
        <x:v>2026 — exact date TBC</x:v>
      </x:c>
      <x:c r="K13" s="36" t="str">
        <x:v>Final</x:v>
      </x:c>
      <x:c r="L13" s="36" t="str">
        <x:v>No</x:v>
      </x:c>
      <x:c r="M13" s="36" t="str">
        <x:v>Updated Rental Lookbook 2026, p. 7.</x:v>
      </x:c>
    </x:row>
    <x:row r="14" ht="36" customHeight="1">
      <x:c r="A14" s="36" t="str">
        <x:v>VP-009</x:v>
      </x:c>
      <x:c r="B14" s="36" t="str">
        <x:v>Studio Space</x:v>
      </x:c>
      <x:c r="C14" s="36" t="str">
        <x:v>Full-day</x:v>
      </x:c>
      <x:c r="D14" s="36" t="str">
        <x:v>8 hours</x:v>
      </x:c>
      <x:c r="E14" s="36" t="str">
        <x:v>Weekend</x:v>
      </x:c>
      <x:c r="F14" s="36" t="str">
        <x:v>Weekend</x:v>
      </x:c>
      <x:c r="G14" s="40" t="n">
        <x:v>1296</x:v>
      </x:c>
      <x:c r="H14" s="42" t="n">
        <x:v>0.21</x:v>
      </x:c>
      <x:c r="I14" s="40" t="n">
        <x:f>IF(G14="","",G14*(1+H14))</x:f>
        <x:v>1568.1599999999999</x:v>
      </x:c>
      <x:c r="J14" s="36" t="str">
        <x:v>2026 — exact date TBC</x:v>
      </x:c>
      <x:c r="K14" s="36" t="str">
        <x:v>Final</x:v>
      </x:c>
      <x:c r="L14" s="36" t="str">
        <x:v>No</x:v>
      </x:c>
      <x:c r="M14" s="36" t="str">
        <x:v>Updated Rental Lookbook 2026, p. 7.</x:v>
      </x:c>
    </x:row>
    <x:row r="15" ht="36" customHeight="1">
      <x:c r="A15" s="36" t="str">
        <x:v>VP-010</x:v>
      </x:c>
      <x:c r="B15" s="36" t="str">
        <x:v>Entire Venue</x:v>
      </x:c>
      <x:c r="C15" s="36" t="str">
        <x:v>Hourly</x:v>
      </x:c>
      <x:c r="D15" s="36" t="str">
        <x:v>1 hour</x:v>
      </x:c>
      <x:c r="E15" s="36" t="str">
        <x:v>Weekday</x:v>
      </x:c>
      <x:c r="F15" s="36" t="str">
        <x:v>Weekday</x:v>
      </x:c>
      <x:c r="G15" s="40" t="n">
        <x:v>450</x:v>
      </x:c>
      <x:c r="H15" s="42" t="n">
        <x:v>0.21</x:v>
      </x:c>
      <x:c r="I15" s="40" t="n">
        <x:f>IF(G15="","",G15*(1+H15))</x:f>
        <x:v>544.5</x:v>
      </x:c>
      <x:c r="J15" s="36" t="str">
        <x:v>2026 — exact date TBC</x:v>
      </x:c>
      <x:c r="K15" s="36" t="str">
        <x:v>Final</x:v>
      </x:c>
      <x:c r="L15" s="36" t="str">
        <x:v>No</x:v>
      </x:c>
      <x:c r="M15" s="36" t="str">
        <x:v>Updated Rental Lookbook 2026, p. 8.</x:v>
      </x:c>
    </x:row>
    <x:row r="16" ht="36" customHeight="1">
      <x:c r="A16" s="36" t="str">
        <x:v>VP-011</x:v>
      </x:c>
      <x:c r="B16" s="36" t="str">
        <x:v>Entire Venue</x:v>
      </x:c>
      <x:c r="C16" s="36" t="str">
        <x:v>Half-day</x:v>
      </x:c>
      <x:c r="D16" s="36" t="str">
        <x:v>4 hours</x:v>
      </x:c>
      <x:c r="E16" s="36" t="str">
        <x:v>Weekday</x:v>
      </x:c>
      <x:c r="F16" s="36" t="str">
        <x:v>Weekday</x:v>
      </x:c>
      <x:c r="G16" s="40" t="n">
        <x:v>1575</x:v>
      </x:c>
      <x:c r="H16" s="42" t="n">
        <x:v>0.21</x:v>
      </x:c>
      <x:c r="I16" s="40" t="n">
        <x:f>IF(G16="","",G16*(1+H16))</x:f>
        <x:v>1905.75</x:v>
      </x:c>
      <x:c r="J16" s="36" t="str">
        <x:v>2026 — exact date TBC</x:v>
      </x:c>
      <x:c r="K16" s="36" t="str">
        <x:v>Final</x:v>
      </x:c>
      <x:c r="L16" s="36" t="str">
        <x:v>No</x:v>
      </x:c>
      <x:c r="M16" s="36" t="str">
        <x:v>Updated Rental Lookbook 2026, p. 8.</x:v>
      </x:c>
    </x:row>
    <x:row r="17" ht="36" customHeight="1">
      <x:c r="A17" s="36" t="str">
        <x:v>VP-012</x:v>
      </x:c>
      <x:c r="B17" s="36" t="str">
        <x:v>Entire Venue</x:v>
      </x:c>
      <x:c r="C17" s="36" t="str">
        <x:v>Full-day</x:v>
      </x:c>
      <x:c r="D17" s="36" t="str">
        <x:v>8 hours</x:v>
      </x:c>
      <x:c r="E17" s="36" t="str">
        <x:v>Weekday</x:v>
      </x:c>
      <x:c r="F17" s="36" t="str">
        <x:v>Weekday</x:v>
      </x:c>
      <x:c r="G17" s="40" t="n">
        <x:v>3250</x:v>
      </x:c>
      <x:c r="H17" s="42" t="n">
        <x:v>0.21</x:v>
      </x:c>
      <x:c r="I17" s="40" t="n">
        <x:f>IF(G17="","",G17*(1+H17))</x:f>
        <x:v>3932.5</x:v>
      </x:c>
      <x:c r="J17" s="36" t="str">
        <x:v>2026 — exact date TBC</x:v>
      </x:c>
      <x:c r="K17" s="36" t="str">
        <x:v>Final</x:v>
      </x:c>
      <x:c r="L17" s="36" t="str">
        <x:v>No</x:v>
      </x:c>
      <x:c r="M17" s="36" t="str">
        <x:v>Updated Rental Lookbook 2026, p. 8.</x:v>
      </x:c>
    </x:row>
    <x:row r="18" ht="36" customHeight="1">
      <x:c r="A18" s="71" t="str">
        <x:v>VP-013</x:v>
      </x:c>
      <x:c r="B18" s="71" t="str">
        <x:v>Entire Venue</x:v>
      </x:c>
      <x:c r="C18" s="71" t="str">
        <x:v>Hourly</x:v>
      </x:c>
      <x:c r="D18" s="71" t="str">
        <x:v>1 hour</x:v>
      </x:c>
      <x:c r="E18" s="71" t="str">
        <x:v>Weekend</x:v>
      </x:c>
      <x:c r="F18" s="71" t="str">
        <x:v>Weekend</x:v>
      </x:c>
      <x:c r="G18" s="72" t="n">
        <x:v>545</x:v>
      </x:c>
      <x:c r="H18" s="73" t="n">
        <x:v>0.21</x:v>
      </x:c>
      <x:c r="I18" s="72" t="n">
        <x:f>IF(G18="","",G18*(1+H18))</x:f>
        <x:v>659.4499999999999</x:v>
      </x:c>
      <x:c r="J18" s="71" t="str">
        <x:v>2026 — exact date TBC</x:v>
      </x:c>
      <x:c r="K18" s="71" t="str">
        <x:v>Final</x:v>
      </x:c>
      <x:c r="L18" s="71" t="str">
        <x:v>No</x:v>
      </x:c>
      <x:c r="M18" s="71" t="str">
        <x:v>Updated Rental Lookbook 2026, p. 8.</x:v>
      </x:c>
    </x:row>
    <x:row r="19" ht="36" customHeight="1">
      <x:c r="A19" s="71" t="str">
        <x:v>VP-014</x:v>
      </x:c>
      <x:c r="B19" s="71" t="str">
        <x:v>Entire Venue</x:v>
      </x:c>
      <x:c r="C19" s="71" t="str">
        <x:v>Half-day</x:v>
      </x:c>
      <x:c r="D19" s="71" t="str">
        <x:v>4 hours</x:v>
      </x:c>
      <x:c r="E19" s="71" t="str">
        <x:v>Weekend</x:v>
      </x:c>
      <x:c r="F19" s="71" t="str">
        <x:v>Weekend</x:v>
      </x:c>
      <x:c r="G19" s="72" t="n">
        <x:v>1975</x:v>
      </x:c>
      <x:c r="H19" s="73" t="n">
        <x:v>0.21</x:v>
      </x:c>
      <x:c r="I19" s="72" t="n">
        <x:f>IF(G19="","",G19*(1+H19))</x:f>
        <x:v>2389.75</x:v>
      </x:c>
      <x:c r="J19" s="71" t="str">
        <x:v>2026 — exact date TBC</x:v>
      </x:c>
      <x:c r="K19" s="71" t="str">
        <x:v>Final</x:v>
      </x:c>
      <x:c r="L19" s="71" t="str">
        <x:v>No</x:v>
      </x:c>
      <x:c r="M19" s="71" t="str">
        <x:v>Updated Rental Lookbook 2026, p. 8.</x:v>
      </x:c>
    </x:row>
    <x:row r="20" ht="36" customHeight="1">
      <x:c r="A20" s="71" t="str">
        <x:v>VP-015</x:v>
      </x:c>
      <x:c r="B20" s="71" t="str">
        <x:v>Entire Venue</x:v>
      </x:c>
      <x:c r="C20" s="71" t="str">
        <x:v>Full-day</x:v>
      </x:c>
      <x:c r="D20" s="71" t="str">
        <x:v>8 hours</x:v>
      </x:c>
      <x:c r="E20" s="71" t="str">
        <x:v>Weekend</x:v>
      </x:c>
      <x:c r="F20" s="71" t="str">
        <x:v>Weekend</x:v>
      </x:c>
      <x:c r="G20" s="72" t="n">
        <x:v>4050</x:v>
      </x:c>
      <x:c r="H20" s="73" t="n">
        <x:v>0.21</x:v>
      </x:c>
      <x:c r="I20" s="72" t="n">
        <x:f>IF(G20="","",G20*(1+H20))</x:f>
        <x:v>4900.5</x:v>
      </x:c>
      <x:c r="J20" s="71" t="str">
        <x:v>2026 — exact date TBC</x:v>
      </x:c>
      <x:c r="K20" s="71" t="str">
        <x:v>Final</x:v>
      </x:c>
      <x:c r="L20" s="71" t="str">
        <x:v>No</x:v>
      </x:c>
      <x:c r="M20" s="71" t="str">
        <x:v>Updated Rental Lookbook 2026, p. 8.</x:v>
      </x:c>
    </x:row>
    <x:row r="21" ht="36" customHeight="1">
      <x:c r="A21" s="71" t="str">
        <x:v>VP-016</x:v>
      </x:c>
      <x:c r="B21" s="71" t="str">
        <x:v>1:1 / Podcast Room</x:v>
      </x:c>
      <x:c r="C21" s="71" t="str">
        <x:v>Hourly baseline</x:v>
      </x:c>
      <x:c r="D21" s="71" t="str">
        <x:v>1 hour</x:v>
      </x:c>
      <x:c r="E21" s="71" t="str">
        <x:v>Weekday / weekend by availability</x:v>
      </x:c>
      <x:c r="F21" s="71" t="str">
        <x:v>Typically weekdays 09:00–18:00</x:v>
      </x:c>
      <x:c r="G21" s="72" t="n">
        <x:v>75</x:v>
      </x:c>
      <x:c r="H21" s="73" t="n">
        <x:v>0.21</x:v>
      </x:c>
      <x:c r="I21" s="72" t="n">
        <x:f>IF(G21="","",G21*(1+H21))</x:f>
        <x:v>90.75</x:v>
      </x:c>
      <x:c r="J21" s="71" t="str">
        <x:v>2026 — exact date TBC</x:v>
      </x:c>
      <x:c r="K21" s="71" t="str">
        <x:v>Final — custom scope</x:v>
      </x:c>
      <x:c r="L21" s="71" t="str">
        <x:v>No</x:v>
      </x:c>
      <x:c r="M21" s="71" t="str">
        <x:v>Custom-scope rental. Available when no classes are scheduled; weekends may sometimes be available. Updated Rental Lookbook 2026, p. 11.</x:v>
      </x:c>
    </x:row>
  </x:sheetData>
  <x:mergeCells>
    <x:mergeCell ref="A1:M1"/>
    <x:mergeCell ref="A2:M2"/>
    <x:mergeCell ref="A3:M3"/>
  </x:mergeCells>
  <x:conditionalFormatting sqref="K6:K17">
    <x:cfRule type="expression" dxfId="0" priority="1">
      <x:formula>ISNUMBER(SEARCH("Final",K6))</x:formula>
    </x:cfRule>
    <x:cfRule type="expression" dxfId="1" priority="2">
      <x:formula>ISNUMBER(SEARCH("Working",K6))</x:formula>
    </x:cfRule>
    <x:cfRule type="expression" dxfId="2" priority="3">
      <x:formula>OR(ISNUMBER(SEARCH("TBC",K6)),ISNUMBER(SEARCH("confirm",K6)))</x:formula>
    </x:cfRule>
  </x:conditionalFormatting>
  <x:dataValidations count="2">
    <x:dataValidation type="list" sqref="L6:L17">
      <x:formula1>"Yes,No"</x:formula1>
    </x:dataValidation>
    <x:dataValidation type="list" sqref="K6:K17">
      <x:formula1>"Final,Final — custom quote only,Working — verify from 2026 lookbook,TBC"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6" hidden="0" customWidth="1"/>
    <x:col min="4" max="4" width="14" hidden="0" customWidth="1"/>
    <x:col min="5" max="5" width="10" hidden="0" customWidth="1"/>
    <x:col min="6" max="6" width="14" hidden="0" customWidth="1"/>
    <x:col min="7" max="7" width="14" hidden="0" customWidth="1"/>
    <x:col min="8" max="8" width="24" hidden="0" customWidth="1"/>
    <x:col min="9" max="9" width="14" hidden="0" customWidth="1"/>
    <x:col min="10" max="10" width="18" hidden="0" customWidth="1"/>
    <x:col min="11" max="11" width="13" hidden="0" customWidth="1"/>
    <x:col min="12" max="12" width="12" hidden="0" customWidth="1"/>
    <x:col min="13" max="13" width="32" hidden="0" customWidth="1"/>
  </x:cols>
  <x:sheetData>
    <x:row r="1" ht="30" customHeight="1">
      <x:c r="A1" s="62" t="str">
        <x:v>WNC Rental Pricing, Fees &amp; Payment Rules — Booking Fees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</x:row>
    <x:row r="2" ht="42" customHeight="1">
      <x:c r="A2" s="13" t="str">
        <x:v>Flat, non-refundable booking fees. The fee applies where applicable and may be waived by the designated WNC rental point of contact.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 ht="28" customHeight="1">
      <x:c r="A3" s="21" t="str">
        <x:v>AUTHORITATIVE COMMERCIAL MASTER  |  Amounts are excluding VAT unless stated otherwise. TBC items must be confirmed before client use.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</x:row>
    <x:row r="4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66"/>
      <x:c r="M4" s="66"/>
    </x:row>
    <x:row r="5" ht="32" customHeight="1">
      <x:c r="A5" s="29" t="str">
        <x:v>Fee ID</x:v>
      </x:c>
      <x:c r="B5" s="29" t="str">
        <x:v>Rental type</x:v>
      </x:c>
      <x:c r="C5" s="29" t="str">
        <x:v>Duration band</x:v>
      </x:c>
      <x:c r="D5" s="29" t="str">
        <x:v>Fee excl. VAT</x:v>
      </x:c>
      <x:c r="E5" s="29" t="str">
        <x:v>VAT rate</x:v>
      </x:c>
      <x:c r="F5" s="29" t="str">
        <x:v>Fee incl. VAT</x:v>
      </x:c>
      <x:c r="G5" s="29" t="str">
        <x:v>Can be waived</x:v>
      </x:c>
      <x:c r="H5" s="29" t="str">
        <x:v>Approver</x:v>
      </x:c>
      <x:c r="I5" s="29" t="str">
        <x:v>Refundable</x:v>
      </x:c>
      <x:c r="J5" s="29" t="str">
        <x:v>Application rule</x:v>
      </x:c>
      <x:c r="K5" s="29" t="str">
        <x:v>Effective date</x:v>
      </x:c>
      <x:c r="L5" s="29" t="str">
        <x:v>Rule status</x:v>
      </x:c>
      <x:c r="M5" s="29" t="str">
        <x:v>Notes</x:v>
      </x:c>
    </x:row>
    <x:row r="6">
      <x:c r="A6" s="36" t="str">
        <x:v>BF-001</x:v>
      </x:c>
      <x:c r="B6" s="36" t="str">
        <x:v>Studio Space</x:v>
      </x:c>
      <x:c r="C6" s="36" t="str">
        <x:v>1–3 hours</x:v>
      </x:c>
      <x:c r="D6" s="40" t="n">
        <x:v>50</x:v>
      </x:c>
      <x:c r="E6" s="42" t="n">
        <x:v>0.21</x:v>
      </x:c>
      <x:c r="F6" s="40" t="n">
        <x:f>IF(OR(D6="",E6=""),"",D6*(1+E6))</x:f>
        <x:v>60.5</x:v>
      </x:c>
      <x:c r="G6" s="36" t="str">
        <x:v>Yes</x:v>
      </x:c>
      <x:c r="H6" s="36" t="str">
        <x:v>WNC rental point of contact</x:v>
      </x:c>
      <x:c r="I6" s="36" t="str">
        <x:v>No</x:v>
      </x:c>
      <x:c r="J6" s="36" t="str">
        <x:v>Applies if applicable</x:v>
      </x:c>
      <x:c r="K6" s="36" t="str">
        <x:v>2026 — exact date TBC</x:v>
      </x:c>
      <x:c r="L6" s="36" t="str">
        <x:v>Final</x:v>
      </x:c>
      <x:c r="M6" s="36" t="str">
        <x:v>Non-refundable once charged. Source rate confirmed in Updated Rental Lookbook 2026, p. 7.</x:v>
      </x:c>
    </x:row>
    <x:row r="7">
      <x:c r="A7" s="36" t="str">
        <x:v>BF-002</x:v>
      </x:c>
      <x:c r="B7" s="36" t="str">
        <x:v>Studio Space</x:v>
      </x:c>
      <x:c r="C7" s="36" t="str">
        <x:v>4–8 hours</x:v>
      </x:c>
      <x:c r="D7" s="40" t="n">
        <x:v>75</x:v>
      </x:c>
      <x:c r="E7" s="42" t="n">
        <x:v>0.21</x:v>
      </x:c>
      <x:c r="F7" s="40" t="n">
        <x:f>IF(OR(D7="",E7=""),"",D7*(1+E7))</x:f>
        <x:v>90.75</x:v>
      </x:c>
      <x:c r="G7" s="36" t="str">
        <x:v>Yes</x:v>
      </x:c>
      <x:c r="H7" s="36" t="str">
        <x:v>WNC rental point of contact</x:v>
      </x:c>
      <x:c r="I7" s="36" t="str">
        <x:v>No</x:v>
      </x:c>
      <x:c r="J7" s="36" t="str">
        <x:v>Applies if applicable</x:v>
      </x:c>
      <x:c r="K7" s="36" t="str">
        <x:v>2026 — exact date TBC</x:v>
      </x:c>
      <x:c r="L7" s="36" t="str">
        <x:v>Final</x:v>
      </x:c>
      <x:c r="M7" s="36" t="str">
        <x:v>Non-refundable once charged. Source rate confirmed in Updated Rental Lookbook 2026, p. 7.</x:v>
      </x:c>
    </x:row>
    <x:row r="8">
      <x:c r="A8" s="36" t="str">
        <x:v>BF-003</x:v>
      </x:c>
      <x:c r="B8" s="36" t="str">
        <x:v>Entire Venue</x:v>
      </x:c>
      <x:c r="C8" s="36" t="str">
        <x:v>1–3 hours</x:v>
      </x:c>
      <x:c r="D8" s="40" t="n">
        <x:v>100</x:v>
      </x:c>
      <x:c r="E8" s="42" t="n">
        <x:v>0.21</x:v>
      </x:c>
      <x:c r="F8" s="40" t="n">
        <x:f>IF(OR(D8="",E8=""),"",D8*(1+E8))</x:f>
        <x:v>121</x:v>
      </x:c>
      <x:c r="G8" s="36" t="str">
        <x:v>Yes</x:v>
      </x:c>
      <x:c r="H8" s="36" t="str">
        <x:v>WNC rental point of contact</x:v>
      </x:c>
      <x:c r="I8" s="36" t="str">
        <x:v>No</x:v>
      </x:c>
      <x:c r="J8" s="36" t="str">
        <x:v>Applies if applicable</x:v>
      </x:c>
      <x:c r="K8" s="36" t="str">
        <x:v>2026 — exact date TBC</x:v>
      </x:c>
      <x:c r="L8" s="36" t="str">
        <x:v>Final</x:v>
      </x:c>
      <x:c r="M8" s="36" t="str">
        <x:v>Non-refundable once charged. Source rate confirmed in Updated Rental Lookbook 2026, p. 8.</x:v>
      </x:c>
    </x:row>
    <x:row r="9">
      <x:c r="A9" s="36" t="str">
        <x:v>BF-004</x:v>
      </x:c>
      <x:c r="B9" s="36" t="str">
        <x:v>Entire Venue</x:v>
      </x:c>
      <x:c r="C9" s="36" t="str">
        <x:v>4–7 hours</x:v>
      </x:c>
      <x:c r="D9" s="40" t="n">
        <x:v>250</x:v>
      </x:c>
      <x:c r="E9" s="42" t="n">
        <x:v>0.21</x:v>
      </x:c>
      <x:c r="F9" s="40" t="n">
        <x:f>IF(OR(D9="",E9=""),"",D9*(1+E9))</x:f>
        <x:v>302.5</x:v>
      </x:c>
      <x:c r="G9" s="36" t="str">
        <x:v>Yes</x:v>
      </x:c>
      <x:c r="H9" s="36" t="str">
        <x:v>WNC rental point of contact</x:v>
      </x:c>
      <x:c r="I9" s="36" t="str">
        <x:v>No</x:v>
      </x:c>
      <x:c r="J9" s="36" t="str">
        <x:v>Applies if applicable</x:v>
      </x:c>
      <x:c r="K9" s="36" t="str">
        <x:v>2026 — exact date TBC</x:v>
      </x:c>
      <x:c r="L9" s="36" t="str">
        <x:v>Final</x:v>
      </x:c>
      <x:c r="M9" s="36" t="str">
        <x:v>Non-refundable once charged. Source rate confirmed in Updated Rental Lookbook 2026, p. 8.</x:v>
      </x:c>
    </x:row>
    <x:row r="10">
      <x:c r="A10" s="36" t="str">
        <x:v>BF-005</x:v>
      </x:c>
      <x:c r="B10" s="36" t="str">
        <x:v>Entire Venue</x:v>
      </x:c>
      <x:c r="C10" s="36" t="str">
        <x:v>Full day</x:v>
      </x:c>
      <x:c r="D10" s="40" t="n">
        <x:v>0</x:v>
      </x:c>
      <x:c r="E10" s="42" t="n">
        <x:v>0.21</x:v>
      </x:c>
      <x:c r="F10" s="40" t="str">
        <x:f>IF(OR(D10="",E10=""),"",D10*(1+E10))</x:f>
      </x:c>
      <x:c r="G10" s="36" t="str">
        <x:v>Not applicable</x:v>
      </x:c>
      <x:c r="H10" s="36" t="str">
        <x:v>Not applicable</x:v>
      </x:c>
      <x:c r="I10" s="36" t="str">
        <x:v>Not applicable</x:v>
      </x:c>
      <x:c r="J10" s="36" t="str">
        <x:v>No booking fee</x:v>
      </x:c>
      <x:c r="K10" s="36" t="str">
        <x:v>2026 — exact date TBC</x:v>
      </x:c>
      <x:c r="L10" s="36" t="str">
        <x:v>Final</x:v>
      </x:c>
      <x:c r="M10" s="36" t="str">
        <x:v>A full-day entire-venue rental carries no booking fee. Source confirmed in Updated Rental Lookbook 2026, p. 8.</x:v>
      </x:c>
    </x:row>
  </x:sheetData>
  <x:mergeCells>
    <x:mergeCell ref="A1:M1"/>
    <x:mergeCell ref="A2:M2"/>
    <x:mergeCell ref="A3:M3"/>
  </x:mergeCells>
  <x:conditionalFormatting sqref="L6:L10">
    <x:cfRule type="expression" dxfId="3" priority="1">
      <x:formula>ISNUMBER(SEARCH("Final",L6))</x:formula>
    </x:cfRule>
    <x:cfRule type="expression" dxfId="4" priority="2">
      <x:formula>ISNUMBER(SEARCH("Working",L6))</x:formula>
    </x:cfRule>
    <x:cfRule type="expression" dxfId="5" priority="3">
      <x:formula>OR(ISNUMBER(SEARCH("TBC",L6)),ISNUMBER(SEARCH("confirm",L6)))</x:formula>
    </x:cfRule>
  </x:conditionalFormatting>
  <x:dataValidations count="3">
    <x:dataValidation type="list" sqref="G6:G10">
      <x:formula1>"Yes,No,Not applicable"</x:formula1>
    </x:dataValidation>
    <x:dataValidation type="list" sqref="I6:I10">
      <x:formula1>"Yes,No,Not applicable"</x:formula1>
    </x:dataValidation>
    <x:dataValidation type="list" sqref="L6:L10">
      <x:formula1>"Final,Working,TBC"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8" hidden="0" customWidth="1"/>
    <x:col min="4" max="4" width="19" hidden="0" customWidth="1"/>
    <x:col min="5" max="5" width="10" hidden="0" customWidth="1"/>
    <x:col min="6" max="6" width="24" hidden="0" customWidth="1"/>
    <x:col min="7" max="7" width="44" hidden="0" customWidth="1"/>
    <x:col min="8" max="8" width="10" hidden="0" customWidth="1"/>
    <x:col min="9" max="9" width="12" hidden="0" customWidth="1"/>
    <x:col min="10" max="10" width="24" hidden="0" customWidth="1"/>
    <x:col min="11" max="11" width="13" hidden="0" customWidth="1"/>
    <x:col min="12" max="12" width="12" hidden="0" customWidth="1"/>
    <x:col min="13" max="13" width="38" hidden="0" customWidth="1"/>
  </x:cols>
  <x:sheetData>
    <x:row r="1" ht="30" customHeight="1">
      <x:c r="A1" s="62" t="str">
        <x:v>WNC Rental Pricing, Fees &amp; Payment Rules — Expedited Surcharge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</x:row>
    <x:row r="2" ht="42" customHeight="1">
      <x:c r="A2" s="13" t="str">
        <x:v>The expedited-booking surcharge applies by default when a rental is confirmed within 14 days of the rental date. It is calculated only on the venue-rental charge before VAT.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 ht="28" customHeight="1">
      <x:c r="A3" s="21" t="str">
        <x:v>AUTHORITATIVE COMMERCIAL MASTER  |  Amounts are excluding VAT unless stated otherwise. TBC items must be confirmed before client use.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</x:row>
    <x:row r="4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66"/>
      <x:c r="M4" s="66"/>
    </x:row>
    <x:row r="5" ht="32" customHeight="1">
      <x:c r="A5" s="29" t="str">
        <x:v>Rule ID</x:v>
      </x:c>
      <x:c r="B5" s="29" t="str">
        <x:v>Applies to</x:v>
      </x:c>
      <x:c r="C5" s="29" t="str">
        <x:v>Trigger</x:v>
      </x:c>
      <x:c r="D5" s="29" t="str">
        <x:v>Confirmation window</x:v>
      </x:c>
      <x:c r="E5" s="29" t="str">
        <x:v>Rate</x:v>
      </x:c>
      <x:c r="F5" s="29" t="str">
        <x:v>Calculation base</x:v>
      </x:c>
      <x:c r="G5" s="29" t="str">
        <x:v>Excluded from base</x:v>
      </x:c>
      <x:c r="H5" s="29" t="str">
        <x:v>VAT rate</x:v>
      </x:c>
      <x:c r="I5" s="29" t="str">
        <x:v>Waivable</x:v>
      </x:c>
      <x:c r="J5" s="29" t="str">
        <x:v>Approver</x:v>
      </x:c>
      <x:c r="K5" s="29" t="str">
        <x:v>Effective date</x:v>
      </x:c>
      <x:c r="L5" s="29" t="str">
        <x:v>Rule status</x:v>
      </x:c>
      <x:c r="M5" s="29" t="str">
        <x:v>Notes</x:v>
      </x:c>
    </x:row>
    <x:row r="6">
      <x:c r="A6" s="36" t="str">
        <x:v>ES-001</x:v>
      </x:c>
      <x:c r="B6" s="36" t="str">
        <x:v>All rental types</x:v>
      </x:c>
      <x:c r="C6" s="36" t="str">
        <x:v>Rental confirmed within 14 days of rental date</x:v>
      </x:c>
      <x:c r="D6" s="36" t="str">
        <x:v>14 calendar days or fewer</x:v>
      </x:c>
      <x:c r="E6" s="42" t="n">
        <x:v>0.1</x:v>
      </x:c>
      <x:c r="F6" s="36" t="str">
        <x:v>Venue rental charge excl. VAT</x:v>
      </x:c>
      <x:c r="G6" s="36" t="str">
        <x:v>Booking fee; security deposit; catering; facilitators; production; production coordination; other additional services</x:v>
      </x:c>
      <x:c r="H6" s="42" t="n">
        <x:v>0.21</x:v>
      </x:c>
      <x:c r="I6" s="36" t="str">
        <x:v>Yes</x:v>
      </x:c>
      <x:c r="J6" s="36" t="str">
        <x:v>WNC rental point of contact</x:v>
      </x:c>
      <x:c r="K6" s="36" t="str">
        <x:v>2026 — exact date TBC</x:v>
      </x:c>
      <x:c r="L6" s="36" t="str">
        <x:v>Final</x:v>
      </x:c>
      <x:c r="M6" s="36" t="str">
        <x:v>Mandatory by default under the canonical Phase 2 decision. The 10% rate is also shown in the Updated Rental Lookbook 2026, pp. 7–8; the master rule applies to the venue-rental charge only and the surcharge itself is subject to 21% VAT.</x:v>
      </x:c>
    </x:row>
    <x:row r="7">
      <x:c r="A7" s="66"/>
      <x:c r="B7" s="66"/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</x:row>
    <x:row r="8">
      <x:c r="A8" s="66"/>
      <x:c r="B8" s="66"/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</x:row>
    <x:row r="9">
      <x:c r="A9" s="68" t="str">
        <x:v>Calculation check</x:v>
      </x:c>
      <x:c r="B9" s="68"/>
      <x:c r="C9" s="68"/>
      <x:c r="D9" s="68"/>
      <x:c r="E9" s="68"/>
      <x:c r="F9" s="68"/>
      <x:c r="G9" s="68"/>
      <x:c r="H9" s="68"/>
      <x:c r="I9" s="68"/>
      <x:c r="J9" s="68"/>
      <x:c r="K9" s="68"/>
      <x:c r="L9" s="68"/>
      <x:c r="M9" s="68"/>
    </x:row>
    <x:row r="10">
      <x:c r="A10" s="29" t="str">
        <x:v>Venue rental excl. VAT</x:v>
      </x:c>
      <x:c r="B10" s="29" t="str">
        <x:v>Rate</x:v>
      </x:c>
      <x:c r="C10" s="29" t="str">
        <x:v>Surcharge excl. VAT</x:v>
      </x:c>
      <x:c r="D10" s="29" t="str">
        <x:v>VAT rate</x:v>
      </x:c>
      <x:c r="E10" s="29" t="str">
        <x:v>VAT amount</x:v>
      </x:c>
      <x:c r="F10" s="29" t="str">
        <x:v>Surcharge incl. VAT</x:v>
      </x:c>
      <x:c r="G10" s="66"/>
      <x:c r="H10" s="66"/>
      <x:c r="I10" s="66"/>
      <x:c r="J10" s="66"/>
      <x:c r="K10" s="66"/>
      <x:c r="L10" s="66"/>
      <x:c r="M10" s="66"/>
    </x:row>
    <x:row r="11">
      <x:c r="A11" s="40" t="n">
        <x:v>1000</x:v>
      </x:c>
      <x:c r="B11" s="42" t="n">
        <x:v>0.1</x:v>
      </x:c>
      <x:c r="C11" s="40" t="n">
        <x:f>A11*B11</x:f>
        <x:v>100</x:v>
      </x:c>
      <x:c r="D11" s="42" t="n">
        <x:v>0.21</x:v>
      </x:c>
      <x:c r="E11" s="40" t="n">
        <x:f>C11*D11</x:f>
        <x:v>21</x:v>
      </x:c>
      <x:c r="F11" s="40" t="n">
        <x:f>C11+E11</x:f>
        <x:v>121</x:v>
      </x:c>
      <x:c r="G11" s="66"/>
      <x:c r="H11" s="66"/>
      <x:c r="I11" s="66"/>
      <x:c r="J11" s="66"/>
      <x:c r="K11" s="66"/>
      <x:c r="L11" s="66"/>
      <x:c r="M11" s="66"/>
    </x:row>
  </x:sheetData>
  <x:mergeCells>
    <x:mergeCell ref="A1:M1"/>
    <x:mergeCell ref="A2:M2"/>
    <x:mergeCell ref="A3:M3"/>
    <x:mergeCell ref="A9:M9"/>
  </x:mergeCells>
  <x:conditionalFormatting sqref="L6:L6">
    <x:cfRule type="expression" dxfId="6" priority="1">
      <x:formula>ISNUMBER(SEARCH("Final",L6))</x:formula>
    </x:cfRule>
    <x:cfRule type="expression" dxfId="7" priority="2">
      <x:formula>ISNUMBER(SEARCH("Working",L6))</x:formula>
    </x:cfRule>
    <x:cfRule type="expression" dxfId="8" priority="3">
      <x:formula>OR(ISNUMBER(SEARCH("TBC",L6)),ISNUMBER(SEARCH("confirm",L6)))</x:formula>
    </x:cfRule>
  </x:conditionalFormatting>
  <x:dataValidations count="2">
    <x:dataValidation type="list" sqref="I6">
      <x:formula1>"Yes,No"</x:formula1>
    </x:dataValidation>
    <x:dataValidation type="list" sqref="L6">
      <x:formula1>"Final,Working,TBC"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16" hidden="0" customWidth="1"/>
    <x:col min="4" max="4" width="15" hidden="0" customWidth="1"/>
    <x:col min="5" max="5" width="10" hidden="0" customWidth="1"/>
    <x:col min="6" max="6" width="13" hidden="0" customWidth="1"/>
    <x:col min="7" max="7" width="14" hidden="0" customWidth="1"/>
    <x:col min="8" max="8" width="45" hidden="0" customWidth="1"/>
    <x:col min="9" max="9" width="22" hidden="0" customWidth="1"/>
    <x:col min="10" max="10" width="13" hidden="0" customWidth="1"/>
    <x:col min="11" max="11" width="12" hidden="0" customWidth="1"/>
    <x:col min="12" max="12" width="36" hidden="0" customWidth="1"/>
  </x:cols>
  <x:sheetData>
    <x:row r="1" ht="30" customHeight="1">
      <x:c r="A1" s="62" t="str">
        <x:v>WNC Rental Pricing, Fees &amp; Payment Rules — Security Deposits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</x:row>
    <x:row r="2" ht="42" customHeight="1">
      <x:c r="A2" s="13" t="str">
        <x:v>Standard refundable security-deposit guidance. Custom or unusual scopes require a manual decision; this is not yet a full risk matrix.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 ht="28" customHeight="1">
      <x:c r="A3" s="21" t="str">
        <x:v>AUTHORITATIVE COMMERCIAL MASTER  |  Amounts are excluding VAT unless stated otherwise. TBC items must be confirmed before client use.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66"/>
    </x:row>
    <x:row r="5" ht="32" customHeight="1">
      <x:c r="A5" s="29" t="str">
        <x:v>Deposit ID</x:v>
      </x:c>
      <x:c r="B5" s="29" t="str">
        <x:v>Rental scope</x:v>
      </x:c>
      <x:c r="C5" s="29" t="str">
        <x:v>Method</x:v>
      </x:c>
      <x:c r="D5" s="29" t="str">
        <x:v>Standard amount</x:v>
      </x:c>
      <x:c r="E5" s="29" t="str">
        <x:v>Currency</x:v>
      </x:c>
      <x:c r="F5" s="29" t="str">
        <x:v>Refundable</x:v>
      </x:c>
      <x:c r="G5" s="29" t="str">
        <x:v>Return timing</x:v>
      </x:c>
      <x:c r="H5" s="29" t="str">
        <x:v>Permitted deductions</x:v>
      </x:c>
      <x:c r="I5" s="29" t="str">
        <x:v>VAT treatment</x:v>
      </x:c>
      <x:c r="J5" s="29" t="str">
        <x:v>Effective date</x:v>
      </x:c>
      <x:c r="K5" s="29" t="str">
        <x:v>Rule status</x:v>
      </x:c>
      <x:c r="L5" s="29" t="str">
        <x:v>Notes</x:v>
      </x:c>
    </x:row>
    <x:row r="6">
      <x:c r="A6" s="36" t="str">
        <x:v>SD-001</x:v>
      </x:c>
      <x:c r="B6" s="36" t="str">
        <x:v>Studio-space rental</x:v>
      </x:c>
      <x:c r="C6" s="36" t="str">
        <x:v>None</x:v>
      </x:c>
      <x:c r="D6" s="40" t="n">
        <x:v>0</x:v>
      </x:c>
      <x:c r="E6" s="36" t="str">
        <x:v>EUR</x:v>
      </x:c>
      <x:c r="F6" s="36" t="str">
        <x:v>Not applicable</x:v>
      </x:c>
      <x:c r="G6" s="36" t="str">
        <x:v>Not applicable</x:v>
      </x:c>
      <x:c r="H6" s="36" t="str">
        <x:v>Not applicable</x:v>
      </x:c>
      <x:c r="I6" s="36" t="str">
        <x:v>Not applicable</x:v>
      </x:c>
      <x:c r="J6" s="36" t="str">
        <x:v>TBC</x:v>
      </x:c>
      <x:c r="K6" s="36" t="str">
        <x:v>Final</x:v>
      </x:c>
      <x:c r="L6" s="36" t="str">
        <x:v>No standard security deposit.</x:v>
      </x:c>
    </x:row>
    <x:row r="7">
      <x:c r="A7" s="36" t="str">
        <x:v>SD-002</x:v>
      </x:c>
      <x:c r="B7" s="36" t="str">
        <x:v>One-day entire-venue rental</x:v>
      </x:c>
      <x:c r="C7" s="36" t="str">
        <x:v>Fixed amount</x:v>
      </x:c>
      <x:c r="D7" s="40" t="n">
        <x:v>500</x:v>
      </x:c>
      <x:c r="E7" s="36" t="str">
        <x:v>EUR</x:v>
      </x:c>
      <x:c r="F7" s="36" t="str">
        <x:v>Yes</x:v>
      </x:c>
      <x:c r="G7" s="36" t="str">
        <x:v>TBC</x:v>
      </x:c>
      <x:c r="H7" s="36" t="str">
        <x:v>Damage; overtime; cleaning; waste; missing items; outstanding costs; other valid obligations</x:v>
      </x:c>
      <x:c r="I7" s="36" t="str">
        <x:v>TBC — confirm with finance</x:v>
      </x:c>
      <x:c r="J7" s="36" t="str">
        <x:v>TBC</x:v>
      </x:c>
      <x:c r="K7" s="36" t="str">
        <x:v>Final</x:v>
      </x:c>
      <x:c r="L7" s="36" t="str">
        <x:v>Refundable unless valid deductions apply.</x:v>
      </x:c>
    </x:row>
    <x:row r="8">
      <x:c r="A8" s="36" t="str">
        <x:v>SD-003</x:v>
      </x:c>
      <x:c r="B8" s="36" t="str">
        <x:v>Multi-day full-production rental</x:v>
      </x:c>
      <x:c r="C8" s="36" t="str">
        <x:v>Fixed amount</x:v>
      </x:c>
      <x:c r="D8" s="40" t="n">
        <x:v>2000</x:v>
      </x:c>
      <x:c r="E8" s="36" t="str">
        <x:v>EUR</x:v>
      </x:c>
      <x:c r="F8" s="36" t="str">
        <x:v>Yes</x:v>
      </x:c>
      <x:c r="G8" s="36" t="str">
        <x:v>TBC</x:v>
      </x:c>
      <x:c r="H8" s="36" t="str">
        <x:v>Damage; overtime; cleaning; waste; missing items; outstanding costs; other valid obligations</x:v>
      </x:c>
      <x:c r="I8" s="36" t="str">
        <x:v>TBC — confirm with finance</x:v>
      </x:c>
      <x:c r="J8" s="36" t="str">
        <x:v>TBC</x:v>
      </x:c>
      <x:c r="K8" s="36" t="str">
        <x:v>Final</x:v>
      </x:c>
      <x:c r="L8" s="36" t="str">
        <x:v>Standard working amount for multi-day full-production scope.</x:v>
      </x:c>
    </x:row>
    <x:row r="9">
      <x:c r="A9" s="36" t="str">
        <x:v>SD-004</x:v>
      </x:c>
      <x:c r="B9" s="36" t="str">
        <x:v>Other / custom scope</x:v>
      </x:c>
      <x:c r="C9" s="36" t="str">
        <x:v>Manual decision</x:v>
      </x:c>
      <x:c r="D9" s="40"/>
      <x:c r="E9" s="36" t="str">
        <x:v>EUR</x:v>
      </x:c>
      <x:c r="F9" s="36" t="str">
        <x:v>Usually</x:v>
      </x:c>
      <x:c r="G9" s="36" t="str">
        <x:v>TBC</x:v>
      </x:c>
      <x:c r="H9" s="36" t="str">
        <x:v>Set according to the approved custom scope and risk decision</x:v>
      </x:c>
      <x:c r="I9" s="36" t="str">
        <x:v>TBC — confirm with finance</x:v>
      </x:c>
      <x:c r="J9" s="36" t="str">
        <x:v>TBC</x:v>
      </x:c>
      <x:c r="K9" s="36" t="str">
        <x:v>Working</x:v>
      </x:c>
      <x:c r="L9" s="36" t="str">
        <x:v>A full security-deposit risk matrix has not yet been approved.</x:v>
      </x:c>
    </x:row>
  </x:sheetData>
  <x:mergeCells>
    <x:mergeCell ref="A1:L1"/>
    <x:mergeCell ref="A2:L2"/>
    <x:mergeCell ref="A3:L3"/>
  </x:mergeCells>
  <x:conditionalFormatting sqref="K6:K9">
    <x:cfRule type="expression" dxfId="9" priority="1">
      <x:formula>ISNUMBER(SEARCH("Final",K6))</x:formula>
    </x:cfRule>
    <x:cfRule type="expression" dxfId="10" priority="2">
      <x:formula>ISNUMBER(SEARCH("Working",K6))</x:formula>
    </x:cfRule>
    <x:cfRule type="expression" dxfId="11" priority="3">
      <x:formula>OR(ISNUMBER(SEARCH("TBC",K6)),ISNUMBER(SEARCH("confirm",K6)))</x:formula>
    </x:cfRule>
  </x:conditionalFormatting>
  <x:dataValidations count="2">
    <x:dataValidation type="list" sqref="F6:F9">
      <x:formula1>"Yes,No,Usually,Not applicable"</x:formula1>
    </x:dataValidation>
    <x:dataValidation type="list" sqref="K6:K9">
      <x:formula1>"Final,Working,TBC"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7" hidden="0" customWidth="1"/>
    <x:col min="3" max="3" width="28" hidden="0" customWidth="1"/>
    <x:col min="4" max="4" width="25" hidden="0" customWidth="1"/>
    <x:col min="5" max="5" width="14" hidden="0" customWidth="1"/>
    <x:col min="6" max="6" width="10" hidden="0" customWidth="1"/>
    <x:col min="7" max="7" width="15" hidden="0" customWidth="1"/>
    <x:col min="8" max="8" width="16" hidden="0" customWidth="1"/>
    <x:col min="9" max="9" width="16" hidden="0" customWidth="1"/>
    <x:col min="10" max="10" width="28" hidden="0" customWidth="1"/>
    <x:col min="11" max="11" width="25" hidden="0" customWidth="1"/>
    <x:col min="12" max="12" width="13" hidden="0" customWidth="1"/>
    <x:col min="13" max="13" width="12" hidden="0" customWidth="1"/>
    <x:col min="14" max="14" width="42" hidden="0" customWidth="1"/>
  </x:cols>
  <x:sheetData>
    <x:row r="1" ht="30" customHeight="1">
      <x:c r="A1" s="62" t="str">
        <x:v>WNC Rental Pricing, Fees &amp; Payment Rules — Overtime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</x:row>
    <x:row r="2" ht="42" customHeight="1">
      <x:c r="A2" s="13" t="str">
        <x:v>Overtime is billed after the applicable post-rental grace period. Grace periods support arrival and departure only; setup begins at the agreed rental start time.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 ht="28" customHeight="1">
      <x:c r="A3" s="21" t="str">
        <x:v>AUTHORITATIVE COMMERCIAL MASTER  |  Amounts are excluding VAT unless stated otherwise. TBC items must be confirmed before client use.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</x:row>
    <x:row r="4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66"/>
      <x:c r="M4" s="66"/>
      <x:c r="N4" s="66"/>
    </x:row>
    <x:row r="5" ht="32" customHeight="1">
      <x:c r="A5" s="29" t="str">
        <x:v>Overtime ID</x:v>
      </x:c>
      <x:c r="B5" s="29" t="str">
        <x:v>Charge type</x:v>
      </x:c>
      <x:c r="C5" s="29" t="str">
        <x:v>Applies to</x:v>
      </x:c>
      <x:c r="D5" s="29" t="str">
        <x:v>Rate basis</x:v>
      </x:c>
      <x:c r="E5" s="29" t="str">
        <x:v>Rate excl. VAT</x:v>
      </x:c>
      <x:c r="F5" s="29" t="str">
        <x:v>VAT rate</x:v>
      </x:c>
      <x:c r="G5" s="29" t="str">
        <x:v>Billing increment</x:v>
      </x:c>
      <x:c r="H5" s="29" t="str">
        <x:v>Pre-rental grace</x:v>
      </x:c>
      <x:c r="I5" s="29" t="str">
        <x:v>Post-rental grace</x:v>
      </x:c>
      <x:c r="J5" s="29" t="str">
        <x:v>Charge starts</x:v>
      </x:c>
      <x:c r="K5" s="29" t="str">
        <x:v>Unit</x:v>
      </x:c>
      <x:c r="L5" s="29" t="str">
        <x:v>Effective date</x:v>
      </x:c>
      <x:c r="M5" s="29" t="str">
        <x:v>Rule status</x:v>
      </x:c>
      <x:c r="N5" s="29" t="str">
        <x:v>Notes</x:v>
      </x:c>
    </x:row>
    <x:row r="6">
      <x:c r="A6" s="36" t="str">
        <x:v>OT-001</x:v>
      </x:c>
      <x:c r="B6" s="36" t="str">
        <x:v>Rental overtime</x:v>
      </x:c>
      <x:c r="C6" s="36" t="str">
        <x:v>Studio Space</x:v>
      </x:c>
      <x:c r="D6" s="36" t="str">
        <x:v>Applicable studio hourly rate</x:v>
      </x:c>
      <x:c r="E6" s="40"/>
      <x:c r="F6" s="42" t="n">
        <x:v>0.21</x:v>
      </x:c>
      <x:c r="G6" s="36" t="str">
        <x:v>15 minutes</x:v>
      </x:c>
      <x:c r="H6" s="36" t="str">
        <x:v>15 minutes</x:v>
      </x:c>
      <x:c r="I6" s="36" t="str">
        <x:v>15 minutes</x:v>
      </x:c>
      <x:c r="J6" s="36" t="str">
        <x:v>After post-rental grace period</x:v>
      </x:c>
      <x:c r="K6" s="36" t="str">
        <x:v>Per rental hour</x:v>
      </x:c>
      <x:c r="L6" s="36" t="str">
        <x:v>TBC</x:v>
      </x:c>
      <x:c r="M6" s="36" t="str">
        <x:v>Final</x:v>
      </x:c>
      <x:c r="N6" s="36" t="str">
        <x:v>Pre-rental grace is for arrival only; no operational setup before the rental start.</x:v>
      </x:c>
    </x:row>
    <x:row r="7">
      <x:c r="A7" s="36" t="str">
        <x:v>OT-002</x:v>
      </x:c>
      <x:c r="B7" s="36" t="str">
        <x:v>Rental overtime</x:v>
      </x:c>
      <x:c r="C7" s="36" t="str">
        <x:v>Full-day entire venue — weekday</x:v>
      </x:c>
      <x:c r="D7" s="36" t="str">
        <x:v>Reduced full-day overtime rate</x:v>
      </x:c>
      <x:c r="E7" s="40" t="n">
        <x:v>400</x:v>
      </x:c>
      <x:c r="F7" s="42" t="n">
        <x:v>0.21</x:v>
      </x:c>
      <x:c r="G7" s="36" t="str">
        <x:v>15 minutes</x:v>
      </x:c>
      <x:c r="H7" s="36" t="str">
        <x:v>30 minutes</x:v>
      </x:c>
      <x:c r="I7" s="36" t="str">
        <x:v>30 minutes</x:v>
      </x:c>
      <x:c r="J7" s="36" t="str">
        <x:v>After post-rental grace period</x:v>
      </x:c>
      <x:c r="K7" s="36" t="str">
        <x:v>Per rental hour</x:v>
      </x:c>
      <x:c r="L7" s="36" t="str">
        <x:v>TBC</x:v>
      </x:c>
      <x:c r="M7" s="36" t="str">
        <x:v>Final</x:v>
      </x:c>
      <x:c r="N7" s="36" t="str">
        <x:v>The 30-minute pre-rental grace is for arrival and traffic allowance, not setup.</x:v>
      </x:c>
    </x:row>
    <x:row r="8">
      <x:c r="A8" s="36" t="str">
        <x:v>OT-003</x:v>
      </x:c>
      <x:c r="B8" s="36" t="str">
        <x:v>Rental overtime</x:v>
      </x:c>
      <x:c r="C8" s="36" t="str">
        <x:v>Full-day entire venue — weekend</x:v>
      </x:c>
      <x:c r="D8" s="36" t="str">
        <x:v>Reduced full-day overtime rate</x:v>
      </x:c>
      <x:c r="E8" s="40" t="n">
        <x:v>495</x:v>
      </x:c>
      <x:c r="F8" s="42" t="n">
        <x:v>0.21</x:v>
      </x:c>
      <x:c r="G8" s="36" t="str">
        <x:v>15 minutes</x:v>
      </x:c>
      <x:c r="H8" s="36" t="str">
        <x:v>30 minutes</x:v>
      </x:c>
      <x:c r="I8" s="36" t="str">
        <x:v>30 minutes</x:v>
      </x:c>
      <x:c r="J8" s="36" t="str">
        <x:v>After post-rental grace period</x:v>
      </x:c>
      <x:c r="K8" s="36" t="str">
        <x:v>Per rental hour</x:v>
      </x:c>
      <x:c r="L8" s="36" t="str">
        <x:v>TBC</x:v>
      </x:c>
      <x:c r="M8" s="36" t="str">
        <x:v>Final</x:v>
      </x:c>
      <x:c r="N8" s="36" t="str">
        <x:v>The 30-minute pre-rental grace is for arrival and traffic allowance, not setup.</x:v>
      </x:c>
    </x:row>
    <x:row r="9">
      <x:c r="A9" s="36" t="str">
        <x:v>OT-004</x:v>
      </x:c>
      <x:c r="B9" s="36" t="str">
        <x:v>Staff overtime</x:v>
      </x:c>
      <x:c r="C9" s="36" t="str">
        <x:v>Additional WNC staff time</x:v>
      </x:c>
      <x:c r="D9" s="36" t="str">
        <x:v>Fixed staff rate</x:v>
      </x:c>
      <x:c r="E9" s="40" t="n">
        <x:v>35</x:v>
      </x:c>
      <x:c r="F9" s="42" t="n">
        <x:v>0.21</x:v>
      </x:c>
      <x:c r="G9" s="36" t="str">
        <x:v>15 minutes</x:v>
      </x:c>
      <x:c r="H9" s="36" t="str">
        <x:v>Follows rental</x:v>
      </x:c>
      <x:c r="I9" s="36" t="str">
        <x:v>Follows rental</x:v>
      </x:c>
      <x:c r="J9" s="36" t="str">
        <x:v>When staff time continues beyond included scope / applicable grace</x:v>
      </x:c>
      <x:c r="K9" s="36" t="str">
        <x:v>Per WNC staff member per hour</x:v>
      </x:c>
      <x:c r="L9" s="36" t="str">
        <x:v>TBC</x:v>
      </x:c>
      <x:c r="M9" s="36" t="str">
        <x:v>Final</x:v>
      </x:c>
      <x:c r="N9" s="36" t="str">
        <x:v>Charged where additional staff time is required because of client, guest or supplier activity.</x:v>
      </x:c>
    </x:row>
  </x:sheetData>
  <x:mergeCells>
    <x:mergeCell ref="A1:N1"/>
    <x:mergeCell ref="A2:N2"/>
    <x:mergeCell ref="A3:N3"/>
  </x:mergeCells>
  <x:conditionalFormatting sqref="M6:M9">
    <x:cfRule type="expression" dxfId="12" priority="1">
      <x:formula>ISNUMBER(SEARCH("Final",M6))</x:formula>
    </x:cfRule>
    <x:cfRule type="expression" dxfId="13" priority="2">
      <x:formula>ISNUMBER(SEARCH("Working",M6))</x:formula>
    </x:cfRule>
    <x:cfRule type="expression" dxfId="14" priority="3">
      <x:formula>OR(ISNUMBER(SEARCH("TBC",M6)),ISNUMBER(SEARCH("confirm",M6)))</x:formula>
    </x:cfRule>
  </x:conditionalFormatting>
  <x:dataValidations count="1">
    <x:dataValidation type="list" sqref="M6:M9">
      <x:formula1>"Final,Working,TBC"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56" hidden="0" customWidth="1"/>
    <x:col min="4" max="4" width="18" hidden="0" customWidth="1"/>
    <x:col min="5" max="5" width="22" hidden="0" customWidth="1"/>
    <x:col min="6" max="6" width="26" hidden="0" customWidth="1"/>
    <x:col min="7" max="7" width="28" hidden="0" customWidth="1"/>
    <x:col min="8" max="8" width="24" hidden="0" customWidth="1"/>
    <x:col min="9" max="9" width="13" hidden="0" customWidth="1"/>
    <x:col min="10" max="10" width="12" hidden="0" customWidth="1"/>
    <x:col min="11" max="11" width="38" hidden="0" customWidth="1"/>
  </x:cols>
  <x:sheetData>
    <x:row r="1" ht="30" customHeight="1">
      <x:c r="A1" s="62" t="str">
        <x:v>WNC Rental Pricing, Fees &amp; Payment Rules — Payment Rules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</x:row>
    <x:row r="2" ht="42" customHeight="1">
      <x:c r="A2" s="13" t="str">
        <x:v>A rental is confirmed once at least the 30% confirmation payment has been received. The client may instead pay 100% upfront. Payment of the confirmation amount also records acceptance of the applicable Terms and Conditions.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 ht="28" customHeight="1">
      <x:c r="A3" s="21" t="str">
        <x:v>AUTHORITATIVE COMMERCIAL MASTER  |  Amounts are excluding VAT unless stated otherwise. TBC items must be confirmed before client use.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</x:row>
    <x:row r="5" ht="32" customHeight="1">
      <x:c r="A5" s="29" t="str">
        <x:v>Rule ID</x:v>
      </x:c>
      <x:c r="B5" s="29" t="str">
        <x:v>Topic</x:v>
      </x:c>
      <x:c r="C5" s="29" t="str">
        <x:v>Final rule</x:v>
      </x:c>
      <x:c r="D5" s="29" t="str">
        <x:v>Amount / percentage</x:v>
      </x:c>
      <x:c r="E5" s="29" t="str">
        <x:v>Deadline / trigger</x:v>
      </x:c>
      <x:c r="F5" s="29" t="str">
        <x:v>Applies to</x:v>
      </x:c>
      <x:c r="G5" s="29" t="str">
        <x:v>Exception / waiver</x:v>
      </x:c>
      <x:c r="H5" s="29" t="str">
        <x:v>Approver</x:v>
      </x:c>
      <x:c r="I5" s="29" t="str">
        <x:v>Effective date</x:v>
      </x:c>
      <x:c r="J5" s="29" t="str">
        <x:v>Rule status</x:v>
      </x:c>
      <x:c r="K5" s="29" t="str">
        <x:v>Notes</x:v>
      </x:c>
    </x:row>
    <x:row r="6">
      <x:c r="A6" s="36" t="str">
        <x:v>PAY-001</x:v>
      </x:c>
      <x:c r="B6" s="36" t="str">
        <x:v>Upfront payment options</x:v>
      </x:c>
      <x:c r="C6" s="36" t="str">
        <x:v>Client may pay 30% or 100% upfront</x:v>
      </x:c>
      <x:c r="D6" s="36" t="str">
        <x:v>30% or 100%</x:v>
      </x:c>
      <x:c r="E6" s="36" t="str">
        <x:v>At confirmation</x:v>
      </x:c>
      <x:c r="F6" s="36" t="str">
        <x:v>All direct rentals</x:v>
      </x:c>
      <x:c r="G6" s="36" t="str">
        <x:v>Any alternative arrangement must be approved</x:v>
      </x:c>
      <x:c r="H6" s="36" t="str">
        <x:v>WNC rental point of contact</x:v>
      </x:c>
      <x:c r="I6" s="36" t="str">
        <x:v>TBC</x:v>
      </x:c>
      <x:c r="J6" s="36" t="str">
        <x:v>Final</x:v>
      </x:c>
      <x:c r="K6" s="36" t="str">
        <x:v>The 30% amount is the minimum confirmation payment.</x:v>
      </x:c>
    </x:row>
    <x:row r="7">
      <x:c r="A7" s="36" t="str">
        <x:v>PAY-002</x:v>
      </x:c>
      <x:c r="B7" s="36" t="str">
        <x:v>Rental confirmation</x:v>
      </x:c>
      <x:c r="C7" s="36" t="str">
        <x:v>The rental date is confirmed once at least the 30% confirmation payment has been received</x:v>
      </x:c>
      <x:c r="D7" s="36" t="str">
        <x:v>Minimum 30%</x:v>
      </x:c>
      <x:c r="E7" s="36" t="str">
        <x:v>Upon cleared receipt</x:v>
      </x:c>
      <x:c r="F7" s="36" t="str">
        <x:v>All rentals</x:v>
      </x:c>
      <x:c r="G7" s="36" t="str">
        <x:v>None stated</x:v>
      </x:c>
      <x:c r="H7" s="36" t="str">
        <x:v>WNC rental point of contact</x:v>
      </x:c>
      <x:c r="I7" s="36" t="str">
        <x:v>TBC</x:v>
      </x:c>
      <x:c r="J7" s="36" t="str">
        <x:v>Final</x:v>
      </x:c>
      <x:c r="K7" s="36" t="str">
        <x:v>Paying the confirmation amount means the client accepts the applicable Terms and Conditions.</x:v>
      </x:c>
    </x:row>
    <x:row r="8">
      <x:c r="A8" s="36" t="str">
        <x:v>PAY-003</x:v>
      </x:c>
      <x:c r="B8" s="36" t="str">
        <x:v>Remaining balance</x:v>
      </x:c>
      <x:c r="C8" s="36" t="str">
        <x:v>If 30% was paid upfront, the remaining 70% is due</x:v>
      </x:c>
      <x:c r="D8" s="36" t="str">
        <x:v>70%</x:v>
      </x:c>
      <x:c r="E8" s="36" t="str">
        <x:v>14 days before the event</x:v>
      </x:c>
      <x:c r="F8" s="36" t="str">
        <x:v>Rentals not paid in full</x:v>
      </x:c>
      <x:c r="G8" s="36" t="str">
        <x:v>Approved written exception only</x:v>
      </x:c>
      <x:c r="H8" s="36" t="str">
        <x:v>WNC rental point of contact</x:v>
      </x:c>
      <x:c r="I8" s="36" t="str">
        <x:v>TBC</x:v>
      </x:c>
      <x:c r="J8" s="36" t="str">
        <x:v>Final</x:v>
      </x:c>
      <x:c r="K8" s="36" t="str">
        <x:v>Balance deadline is calculated from the rental date.</x:v>
      </x:c>
    </x:row>
    <x:row r="9">
      <x:c r="A9" s="36" t="str">
        <x:v>PAY-004</x:v>
      </x:c>
      <x:c r="B9" s="36" t="str">
        <x:v>Booking made under 30 days</x:v>
      </x:c>
      <x:c r="C9" s="36" t="str">
        <x:v>Confirmation payment is due within three days</x:v>
      </x:c>
      <x:c r="D9" s="36" t="str">
        <x:v>30% or 100%</x:v>
      </x:c>
      <x:c r="E9" s="36" t="str">
        <x:v>Within 3 calendar days</x:v>
      </x:c>
      <x:c r="F9" s="36" t="str">
        <x:v>Bookings made fewer than 30 days before the event</x:v>
      </x:c>
      <x:c r="G9" s="36" t="str">
        <x:v>Within-14-day rule overrides</x:v>
      </x:c>
      <x:c r="H9" s="36" t="str">
        <x:v>WNC rental point of contact</x:v>
      </x:c>
      <x:c r="I9" s="36" t="str">
        <x:v>TBC</x:v>
      </x:c>
      <x:c r="J9" s="36" t="str">
        <x:v>Final</x:v>
      </x:c>
      <x:c r="K9" s="36" t="str">
        <x:v>The rental is not confirmed until payment is received.</x:v>
      </x:c>
    </x:row>
    <x:row r="10">
      <x:c r="A10" s="36" t="str">
        <x:v>PAY-005</x:v>
      </x:c>
      <x:c r="B10" s="36" t="str">
        <x:v>Booking within 14 days</x:v>
      </x:c>
      <x:c r="C10" s="36" t="str">
        <x:v>Confirmation payment is due within 24 hours</x:v>
      </x:c>
      <x:c r="D10" s="36" t="str">
        <x:v>30% or 100%</x:v>
      </x:c>
      <x:c r="E10" s="36" t="str">
        <x:v>Within 24 hours</x:v>
      </x:c>
      <x:c r="F10" s="36" t="str">
        <x:v>Bookings made 14 days or fewer before the event</x:v>
      </x:c>
      <x:c r="G10" s="36" t="str">
        <x:v>Written waiver / alternative only</x:v>
      </x:c>
      <x:c r="H10" s="36" t="str">
        <x:v>WNC rental point of contact</x:v>
      </x:c>
      <x:c r="I10" s="36" t="str">
        <x:v>TBC</x:v>
      </x:c>
      <x:c r="J10" s="36" t="str">
        <x:v>Final</x:v>
      </x:c>
      <x:c r="K10" s="36" t="str">
        <x:v>The expedited surcharge applies by default once the rental is confirmed.</x:v>
      </x:c>
    </x:row>
    <x:row r="11">
      <x:c r="A11" s="36" t="str">
        <x:v>PAY-006</x:v>
      </x:c>
      <x:c r="B11" s="36" t="str">
        <x:v>Final Rental Agreement</x:v>
      </x:c>
      <x:c r="C11" s="36" t="str">
        <x:v>One final Rental Agreement follows once scope, timings, fees and responsibilities are finalised</x:v>
      </x:c>
      <x:c r="D11" s="36" t="str">
        <x:v>Not applicable</x:v>
      </x:c>
      <x:c r="E11" s="36" t="str">
        <x:v>After scope is final</x:v>
      </x:c>
      <x:c r="F11" s="36" t="str">
        <x:v>All rentals requiring an agreement</x:v>
      </x:c>
      <x:c r="G11" s="36" t="str">
        <x:v>None</x:v>
      </x:c>
      <x:c r="H11" s="36" t="str">
        <x:v>WNC rental point of contact</x:v>
      </x:c>
      <x:c r="I11" s="36" t="str">
        <x:v>TBC</x:v>
      </x:c>
      <x:c r="J11" s="36" t="str">
        <x:v>Final</x:v>
      </x:c>
      <x:c r="K11" s="36" t="str">
        <x:v>The agreement is not what initially secures the date.</x:v>
      </x:c>
    </x:row>
    <x:row r="12">
      <x:c r="A12" s="36" t="str">
        <x:v>PAY-007</x:v>
      </x:c>
      <x:c r="B12" s="36" t="str">
        <x:v>Storefront</x:v>
      </x:c>
      <x:c r="C12" s="36" t="str">
        <x:v>Apply Storefront payment and platform arrangements only where the booking is processed through Storefront</x:v>
      </x:c>
      <x:c r="D12" s="36" t="str">
        <x:v>If applicable</x:v>
      </x:c>
      <x:c r="E12" s="36" t="str">
        <x:v>Per applicable platform setup</x:v>
      </x:c>
      <x:c r="F12" s="36" t="str">
        <x:v>Storefront bookings only</x:v>
      </x:c>
      <x:c r="G12" s="36" t="str">
        <x:v>Current platform terms must be checked for each booking</x:v>
      </x:c>
      <x:c r="H12" s="36" t="str">
        <x:v>WNC rental point of contact</x:v>
      </x:c>
      <x:c r="I12" s="36" t="str">
        <x:v>TBC</x:v>
      </x:c>
      <x:c r="J12" s="36" t="str">
        <x:v>Working</x:v>
      </x:c>
      <x:c r="K12" s="36" t="str">
        <x:v>Do not reuse historical platform-fee wording without checking current terms.</x:v>
      </x:c>
    </x:row>
    <x:row r="13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</x:row>
    <x:row r="14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</x:row>
    <x:row r="15">
      <x:c r="A15" s="68" t="str">
        <x:v>Controlled payment statuses (from WNC Rental Data Dictionary)</x:v>
      </x:c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</x:row>
    <x:row r="16">
      <x:c r="A16" s="29" t="str">
        <x:v>Status key</x:v>
      </x:c>
      <x:c r="B16" s="29" t="str">
        <x:v>Display label</x:v>
      </x:c>
      <x:c r="C16" s="29" t="str">
        <x:v>Definition</x:v>
      </x:c>
      <x:c r="D16" s="66"/>
      <x:c r="E16" s="66"/>
      <x:c r="F16" s="66"/>
      <x:c r="G16" s="66"/>
      <x:c r="H16" s="66"/>
      <x:c r="I16" s="66"/>
      <x:c r="J16" s="66"/>
      <x:c r="K16" s="66"/>
    </x:row>
    <x:row r="17">
      <x:c r="A17" s="36" t="str">
        <x:v>not_applicable</x:v>
      </x:c>
      <x:c r="B17" s="36" t="str">
        <x:v>Not Applicable</x:v>
      </x:c>
      <x:c r="C17" s="36" t="str">
        <x:v>No payment status applies to this record.</x:v>
      </x:c>
      <x:c r="D17" s="66"/>
      <x:c r="E17" s="66"/>
      <x:c r="F17" s="66"/>
      <x:c r="G17" s="66"/>
      <x:c r="H17" s="66"/>
      <x:c r="I17" s="66"/>
      <x:c r="J17" s="66"/>
      <x:c r="K17" s="66"/>
    </x:row>
    <x:row r="18">
      <x:c r="A18" s="36" t="str">
        <x:v>not_due</x:v>
      </x:c>
      <x:c r="B18" s="36" t="str">
        <x:v>Not Due</x:v>
      </x:c>
      <x:c r="C18" s="36" t="str">
        <x:v>Payment is not yet due.</x:v>
      </x:c>
      <x:c r="D18" s="66"/>
      <x:c r="E18" s="66"/>
      <x:c r="F18" s="66"/>
      <x:c r="G18" s="66"/>
      <x:c r="H18" s="66"/>
      <x:c r="I18" s="66"/>
      <x:c r="J18" s="66"/>
      <x:c r="K18" s="66"/>
    </x:row>
    <x:row r="19">
      <x:c r="A19" s="36" t="str">
        <x:v>deposit_due</x:v>
      </x:c>
      <x:c r="B19" s="36" t="str">
        <x:v>Deposit Due</x:v>
      </x:c>
      <x:c r="C19" s="36" t="str">
        <x:v>The confirmation deposit is due.</x:v>
      </x:c>
      <x:c r="D19" s="66"/>
      <x:c r="E19" s="66"/>
      <x:c r="F19" s="66"/>
      <x:c r="G19" s="66"/>
      <x:c r="H19" s="66"/>
      <x:c r="I19" s="66"/>
      <x:c r="J19" s="66"/>
      <x:c r="K19" s="66"/>
    </x:row>
    <x:row r="20">
      <x:c r="A20" s="36" t="str">
        <x:v>deposit_partially_paid</x:v>
      </x:c>
      <x:c r="B20" s="36" t="str">
        <x:v>Deposit Partially Paid</x:v>
      </x:c>
      <x:c r="C20" s="36" t="str">
        <x:v>Part of the required confirmation deposit has been received.</x:v>
      </x:c>
      <x:c r="D20" s="66"/>
      <x:c r="E20" s="66"/>
      <x:c r="F20" s="66"/>
      <x:c r="G20" s="66"/>
      <x:c r="H20" s="66"/>
      <x:c r="I20" s="66"/>
      <x:c r="J20" s="66"/>
      <x:c r="K20" s="66"/>
    </x:row>
    <x:row r="21">
      <x:c r="A21" s="36" t="str">
        <x:v>deposit_paid</x:v>
      </x:c>
      <x:c r="B21" s="36" t="str">
        <x:v>Deposit Paid</x:v>
      </x:c>
      <x:c r="C21" s="36" t="str">
        <x:v>The required confirmation deposit has been received.</x:v>
      </x:c>
      <x:c r="D21" s="66"/>
      <x:c r="E21" s="66"/>
      <x:c r="F21" s="66"/>
      <x:c r="G21" s="66"/>
      <x:c r="H21" s="66"/>
      <x:c r="I21" s="66"/>
      <x:c r="J21" s="66"/>
      <x:c r="K21" s="66"/>
    </x:row>
    <x:row r="22">
      <x:c r="A22" s="36" t="str">
        <x:v>balance_due</x:v>
      </x:c>
      <x:c r="B22" s="36" t="str">
        <x:v>Balance Due</x:v>
      </x:c>
      <x:c r="C22" s="36" t="str">
        <x:v>The remaining balance is due.</x:v>
      </x:c>
      <x:c r="D22" s="66"/>
      <x:c r="E22" s="66"/>
      <x:c r="F22" s="66"/>
      <x:c r="G22" s="66"/>
      <x:c r="H22" s="66"/>
      <x:c r="I22" s="66"/>
      <x:c r="J22" s="66"/>
      <x:c r="K22" s="66"/>
    </x:row>
    <x:row r="23">
      <x:c r="A23" s="36" t="str">
        <x:v>partially_paid</x:v>
      </x:c>
      <x:c r="B23" s="36" t="str">
        <x:v>Partially Paid</x:v>
      </x:c>
      <x:c r="C23" s="36" t="str">
        <x:v>Some payment has been received, but the total due is not fully paid.</x:v>
      </x:c>
      <x:c r="D23" s="66"/>
      <x:c r="E23" s="66"/>
      <x:c r="F23" s="66"/>
      <x:c r="G23" s="66"/>
      <x:c r="H23" s="66"/>
      <x:c r="I23" s="66"/>
      <x:c r="J23" s="66"/>
      <x:c r="K23" s="66"/>
    </x:row>
    <x:row r="24">
      <x:c r="A24" s="36" t="str">
        <x:v>paid_in_full</x:v>
      </x:c>
      <x:c r="B24" s="36" t="str">
        <x:v>Paid in Full</x:v>
      </x:c>
      <x:c r="C24" s="36" t="str">
        <x:v>All currently due rental amounts have been paid.</x:v>
      </x:c>
      <x:c r="D24" s="66"/>
      <x:c r="E24" s="66"/>
      <x:c r="F24" s="66"/>
      <x:c r="G24" s="66"/>
      <x:c r="H24" s="66"/>
      <x:c r="I24" s="66"/>
      <x:c r="J24" s="66"/>
      <x:c r="K24" s="66"/>
    </x:row>
    <x:row r="25">
      <x:c r="A25" s="36" t="str">
        <x:v>overdue</x:v>
      </x:c>
      <x:c r="B25" s="36" t="str">
        <x:v>Overdue</x:v>
      </x:c>
      <x:c r="C25" s="36" t="str">
        <x:v>A required payment has not been received by its due date.</x:v>
      </x:c>
      <x:c r="D25" s="66"/>
      <x:c r="E25" s="66"/>
      <x:c r="F25" s="66"/>
      <x:c r="G25" s="66"/>
      <x:c r="H25" s="66"/>
      <x:c r="I25" s="66"/>
      <x:c r="J25" s="66"/>
      <x:c r="K25" s="66"/>
    </x:row>
    <x:row r="26">
      <x:c r="A26" s="36" t="str">
        <x:v>payment_plan_active</x:v>
      </x:c>
      <x:c r="B26" s="36" t="str">
        <x:v>Payment Plan Active</x:v>
      </x:c>
      <x:c r="C26" s="36" t="str">
        <x:v>An approved payment plan is in progress.</x:v>
      </x:c>
      <x:c r="D26" s="66"/>
      <x:c r="E26" s="66"/>
      <x:c r="F26" s="66"/>
      <x:c r="G26" s="66"/>
      <x:c r="H26" s="66"/>
      <x:c r="I26" s="66"/>
      <x:c r="J26" s="66"/>
      <x:c r="K26" s="66"/>
    </x:row>
    <x:row r="27">
      <x:c r="A27" s="36" t="str">
        <x:v>payment_disputed</x:v>
      </x:c>
      <x:c r="B27" s="36" t="str">
        <x:v>Payment Disputed</x:v>
      </x:c>
      <x:c r="C27" s="36" t="str">
        <x:v>The client disputes an amount, charge or payment obligation.</x:v>
      </x:c>
      <x:c r="D27" s="66"/>
      <x:c r="E27" s="66"/>
      <x:c r="F27" s="66"/>
      <x:c r="G27" s="66"/>
      <x:c r="H27" s="66"/>
      <x:c r="I27" s="66"/>
      <x:c r="J27" s="66"/>
      <x:c r="K27" s="66"/>
    </x:row>
    <x:row r="28">
      <x:c r="A28" s="36" t="str">
        <x:v>partially_refunded</x:v>
      </x:c>
      <x:c r="B28" s="36" t="str">
        <x:v>Partially Refunded</x:v>
      </x:c>
      <x:c r="C28" s="36" t="str">
        <x:v>Part of the received payment has been refunded.</x:v>
      </x:c>
      <x:c r="D28" s="66"/>
      <x:c r="E28" s="66"/>
      <x:c r="F28" s="66"/>
      <x:c r="G28" s="66"/>
      <x:c r="H28" s="66"/>
      <x:c r="I28" s="66"/>
      <x:c r="J28" s="66"/>
      <x:c r="K28" s="66"/>
    </x:row>
    <x:row r="29">
      <x:c r="A29" s="36" t="str">
        <x:v>refunded</x:v>
      </x:c>
      <x:c r="B29" s="36" t="str">
        <x:v>Refunded</x:v>
      </x:c>
      <x:c r="C29" s="36" t="str">
        <x:v>The applicable received payment has been fully refunded.</x:v>
      </x:c>
      <x:c r="D29" s="66"/>
      <x:c r="E29" s="66"/>
      <x:c r="F29" s="66"/>
      <x:c r="G29" s="66"/>
      <x:c r="H29" s="66"/>
      <x:c r="I29" s="66"/>
      <x:c r="J29" s="66"/>
      <x:c r="K29" s="66"/>
    </x:row>
    <x:row r="30">
      <x:c r="A30" s="36" t="str">
        <x:v>waived</x:v>
      </x:c>
      <x:c r="B30" s="36" t="str">
        <x:v>Waived</x:v>
      </x:c>
      <x:c r="C30" s="36" t="str">
        <x:v>The applicable payment obligation has been explicitly waived.</x:v>
      </x:c>
      <x:c r="D30" s="66"/>
      <x:c r="E30" s="66"/>
      <x:c r="F30" s="66"/>
      <x:c r="G30" s="66"/>
      <x:c r="H30" s="66"/>
      <x:c r="I30" s="66"/>
      <x:c r="J30" s="66"/>
      <x:c r="K30" s="66"/>
    </x:row>
  </x:sheetData>
  <x:mergeCells>
    <x:mergeCell ref="A1:K1"/>
    <x:mergeCell ref="A2:K2"/>
    <x:mergeCell ref="A3:K3"/>
    <x:mergeCell ref="A15:K15"/>
  </x:mergeCells>
  <x:conditionalFormatting sqref="J6:J12">
    <x:cfRule type="expression" dxfId="15" priority="1">
      <x:formula>ISNUMBER(SEARCH("Final",J6))</x:formula>
    </x:cfRule>
    <x:cfRule type="expression" dxfId="16" priority="2">
      <x:formula>ISNUMBER(SEARCH("Working",J6))</x:formula>
    </x:cfRule>
    <x:cfRule type="expression" dxfId="17" priority="3">
      <x:formula>OR(ISNUMBER(SEARCH("TBC",J6)),ISNUMBER(SEARCH("confirm",J6)))</x:formula>
    </x:cfRule>
  </x:conditionalFormatting>
  <x:dataValidations count="1">
    <x:dataValidation type="list" sqref="J6:J12">
      <x:formula1>"Final,Working,TBC"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6" hidden="0" customWidth="1"/>
    <x:col min="3" max="3" width="18" hidden="0" customWidth="1"/>
    <x:col min="4" max="4" width="17" hidden="0" customWidth="1"/>
    <x:col min="5" max="5" width="24" hidden="0" customWidth="1"/>
    <x:col min="6" max="6" width="40" hidden="0" customWidth="1"/>
    <x:col min="7" max="7" width="29" hidden="0" customWidth="1"/>
    <x:col min="8" max="8" width="48" hidden="0" customWidth="1"/>
    <x:col min="9" max="9" width="13" hidden="0" customWidth="1"/>
    <x:col min="10" max="10" width="12" hidden="0" customWidth="1"/>
    <x:col min="11" max="11" width="38" hidden="0" customWidth="1"/>
  </x:cols>
  <x:sheetData>
    <x:row r="1" ht="30" customHeight="1">
      <x:c r="A1" s="62" t="str">
        <x:v>WNC Rental Pricing, Fees &amp; Payment Rules — Cancellation and Refunds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</x:row>
    <x:row r="2" ht="42" customHeight="1">
      <x:c r="A2" s="13" t="str">
        <x:v>Client-cancellation treatment by timing. Production and production-coordination fees are non-refundable once agreed, and non-recoverable third-party commitments remain payable.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 ht="28" customHeight="1">
      <x:c r="A3" s="21" t="str">
        <x:v>AUTHORITATIVE COMMERCIAL MASTER  |  Amounts are excluding VAT unless stated otherwise. TBC items must be confirmed before client use.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</x:row>
    <x:row r="5" ht="32" customHeight="1">
      <x:c r="A5" s="29" t="str">
        <x:v>Rule ID</x:v>
      </x:c>
      <x:c r="B5" s="29" t="str">
        <x:v>Timing / condition</x:v>
      </x:c>
      <x:c r="C5" s="29" t="str">
        <x:v>Rental payments</x:v>
      </x:c>
      <x:c r="D5" s="29" t="str">
        <x:v>Booking fee</x:v>
      </x:c>
      <x:c r="E5" s="29" t="str">
        <x:v>Production fees</x:v>
      </x:c>
      <x:c r="F5" s="29" t="str">
        <x:v>Third-party committed costs</x:v>
      </x:c>
      <x:c r="G5" s="29" t="str">
        <x:v>Security deposit</x:v>
      </x:c>
      <x:c r="H5" s="29" t="str">
        <x:v>Client remains responsible for</x:v>
      </x:c>
      <x:c r="I5" s="29" t="str">
        <x:v>Effective date</x:v>
      </x:c>
      <x:c r="J5" s="29" t="str">
        <x:v>Rule status</x:v>
      </x:c>
      <x:c r="K5" s="29" t="str">
        <x:v>Notes</x:v>
      </x:c>
    </x:row>
    <x:row r="6">
      <x:c r="A6" s="36" t="str">
        <x:v>CR-001</x:v>
      </x:c>
      <x:c r="B6" s="36" t="str">
        <x:v>More than 30 days before rental</x:v>
      </x:c>
      <x:c r="C6" s="36" t="str">
        <x:v>Refundable</x:v>
      </x:c>
      <x:c r="D6" s="36" t="str">
        <x:v>Non-refundable</x:v>
      </x:c>
      <x:c r="E6" s="36" t="str">
        <x:v>Non-refundable once agreed</x:v>
      </x:c>
      <x:c r="F6" s="36" t="str">
        <x:v>Non-refundable / deducted where already ordered or contractually committed</x:v>
      </x:c>
      <x:c r="G6" s="36" t="str">
        <x:v>Refundable unless valid deductions apply</x:v>
      </x:c>
      <x:c r="H6" s="36" t="str">
        <x:v>Production coordination; goods; equipment; catering; services and other non-recoverable commitments made for the client</x:v>
      </x:c>
      <x:c r="I6" s="36" t="str">
        <x:v>TBC</x:v>
      </x:c>
      <x:c r="J6" s="36" t="str">
        <x:v>Final</x:v>
      </x:c>
      <x:c r="K6" s="36" t="str">
        <x:v>Refund applies only to rental payments received, after the stated exclusions.</x:v>
      </x:c>
    </x:row>
    <x:row r="7">
      <x:c r="A7" s="36" t="str">
        <x:v>CR-002</x:v>
      </x:c>
      <x:c r="B7" s="36" t="str">
        <x:v>30 days or fewer before rental</x:v>
      </x:c>
      <x:c r="C7" s="36" t="str">
        <x:v>Non-refundable</x:v>
      </x:c>
      <x:c r="D7" s="36" t="str">
        <x:v>Non-refundable</x:v>
      </x:c>
      <x:c r="E7" s="36" t="str">
        <x:v>Non-refundable once agreed</x:v>
      </x:c>
      <x:c r="F7" s="36" t="str">
        <x:v>Client remains responsible for all non-recoverable commitments</x:v>
      </x:c>
      <x:c r="G7" s="36" t="str">
        <x:v>Refundable unless valid deductions apply</x:v>
      </x:c>
      <x:c r="H7" s="36" t="str">
        <x:v>Third-party costs or contractual commitments incurred on the client’s behalf</x:v>
      </x:c>
      <x:c r="I7" s="36" t="str">
        <x:v>TBC</x:v>
      </x:c>
      <x:c r="J7" s="36" t="str">
        <x:v>Final</x:v>
      </x:c>
      <x:c r="K7" s="36" t="str">
        <x:v>All rental payments are non-refundable.</x:v>
      </x:c>
    </x:row>
    <x:row r="8">
      <x:c r="A8" s="36" t="str">
        <x:v>CR-003</x:v>
      </x:c>
      <x:c r="B8" s="36" t="str">
        <x:v>Security-deposit treatment</x:v>
      </x:c>
      <x:c r="C8" s="36" t="str">
        <x:v>Not applicable</x:v>
      </x:c>
      <x:c r="D8" s="36" t="str">
        <x:v>Not applicable</x:v>
      </x:c>
      <x:c r="E8" s="36" t="str">
        <x:v>Not applicable</x:v>
      </x:c>
      <x:c r="F8" s="36" t="str">
        <x:v>Not applicable</x:v>
      </x:c>
      <x:c r="G8" s="36" t="str">
        <x:v>Refundable unless deductions apply</x:v>
      </x:c>
      <x:c r="H8" s="36" t="str">
        <x:v>Damage; overtime; cleaning; waste; missing items; outstanding costs or other valid obligations</x:v>
      </x:c>
      <x:c r="I8" s="36" t="str">
        <x:v>TBC</x:v>
      </x:c>
      <x:c r="J8" s="36" t="str">
        <x:v>Final</x:v>
      </x:c>
      <x:c r="K8" s="36" t="str">
        <x:v>Security deposit is handled separately from cancellation fees.</x:v>
      </x:c>
    </x:row>
  </x:sheetData>
  <x:mergeCells>
    <x:mergeCell ref="A1:K1"/>
    <x:mergeCell ref="A2:K2"/>
    <x:mergeCell ref="A3:K3"/>
  </x:mergeCells>
  <x:conditionalFormatting sqref="J6:J8">
    <x:cfRule type="expression" dxfId="18" priority="1">
      <x:formula>ISNUMBER(SEARCH("Final",J6))</x:formula>
    </x:cfRule>
    <x:cfRule type="expression" dxfId="19" priority="2">
      <x:formula>ISNUMBER(SEARCH("Working",J6))</x:formula>
    </x:cfRule>
    <x:cfRule type="expression" dxfId="20" priority="3">
      <x:formula>OR(ISNUMBER(SEARCH("TBC",J6)),ISNUMBER(SEARCH("confirm",J6)))</x:formula>
    </x:cfRule>
  </x:conditionalFormatting>
  <x:dataValidations count="1">
    <x:dataValidation type="list" sqref="J6:J8">
      <x:formula1>"Final,Working,TBC"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9" hidden="0" customWidth="1"/>
    <x:col min="3" max="3" width="45" hidden="0" customWidth="1"/>
    <x:col min="4" max="4" width="12" hidden="0" customWidth="1"/>
    <x:col min="5" max="5" width="42" hidden="0" customWidth="1"/>
    <x:col min="6" max="6" width="13" hidden="0" customWidth="1"/>
    <x:col min="7" max="7" width="12" hidden="0" customWidth="1"/>
    <x:col min="8" max="8" width="42" hidden="0" customWidth="1"/>
  </x:cols>
  <x:sheetData>
    <x:row r="1" ht="30" customHeight="1">
      <x:c r="A1" s="62" t="str">
        <x:v>WNC Rental Pricing, Fees &amp; Payment Rules — VAT Categories</x:v>
      </x:c>
      <x:c r="B1" s="62"/>
      <x:c r="C1" s="62"/>
      <x:c r="D1" s="62"/>
      <x:c r="E1" s="62"/>
      <x:c r="F1" s="62"/>
      <x:c r="G1" s="62"/>
      <x:c r="H1" s="62"/>
    </x:row>
    <x:row r="2" ht="42" customHeight="1">
      <x:c r="A2" s="13" t="str">
        <x:v>VAT is assigned per proposal and invoice line item. Mixed catering must be split between the service component and the food or beverage products.</x:v>
      </x:c>
      <x:c r="B2" s="13"/>
      <x:c r="C2" s="13"/>
      <x:c r="D2" s="13"/>
      <x:c r="E2" s="13"/>
      <x:c r="F2" s="13"/>
      <x:c r="G2" s="13"/>
      <x:c r="H2" s="13"/>
    </x:row>
    <x:row r="3" ht="28" customHeight="1">
      <x:c r="A3" s="21" t="str">
        <x:v>AUTHORITATIVE COMMERCIAL MASTER  |  Amounts are excluding VAT unless stated otherwise. TBC items must be confirmed before client use.</x:v>
      </x:c>
      <x:c r="B3" s="21"/>
      <x:c r="C3" s="21"/>
      <x:c r="D3" s="21"/>
      <x:c r="E3" s="21"/>
      <x:c r="F3" s="21"/>
      <x:c r="G3" s="21"/>
      <x:c r="H3" s="21"/>
    </x:row>
    <x:row r="4">
      <x:c r="A4" s="66"/>
      <x:c r="B4" s="66"/>
      <x:c r="C4" s="66"/>
      <x:c r="D4" s="66"/>
      <x:c r="E4" s="66"/>
      <x:c r="F4" s="66"/>
      <x:c r="G4" s="66"/>
      <x:c r="H4" s="66"/>
    </x:row>
    <x:row r="5" ht="32" customHeight="1">
      <x:c r="A5" s="29" t="str">
        <x:v>VAT ID</x:v>
      </x:c>
      <x:c r="B5" s="29" t="str">
        <x:v>Line-item category</x:v>
      </x:c>
      <x:c r="C5" s="29" t="str">
        <x:v>Examples / included items</x:v>
      </x:c>
      <x:c r="D5" s="29" t="str">
        <x:v>VAT rate</x:v>
      </x:c>
      <x:c r="E5" s="29" t="str">
        <x:v>Required treatment</x:v>
      </x:c>
      <x:c r="F5" s="29" t="str">
        <x:v>Effective date</x:v>
      </x:c>
      <x:c r="G5" s="29" t="str">
        <x:v>Rule status</x:v>
      </x:c>
      <x:c r="H5" s="29" t="str">
        <x:v>Notes</x:v>
      </x:c>
    </x:row>
    <x:row r="6">
      <x:c r="A6" s="36" t="str">
        <x:v>VAT-001</x:v>
      </x:c>
      <x:c r="B6" s="36" t="str">
        <x:v>Venue rental</x:v>
      </x:c>
      <x:c r="C6" s="36" t="str">
        <x:v>Studio Space; Entire Venue; 1:1 / Podcast Room custom rental</x:v>
      </x:c>
      <x:c r="D6" s="42" t="n">
        <x:v>0.21</x:v>
      </x:c>
      <x:c r="E6" s="36" t="str">
        <x:v>Apply 21% to the rental line item</x:v>
      </x:c>
      <x:c r="F6" s="36" t="str">
        <x:v>TBC</x:v>
      </x:c>
      <x:c r="G6" s="36" t="str">
        <x:v>Final</x:v>
      </x:c>
      <x:c r="H6" s="36" t="str"/>
    </x:row>
    <x:row r="7">
      <x:c r="A7" s="36" t="str">
        <x:v>VAT-002</x:v>
      </x:c>
      <x:c r="B7" s="36" t="str">
        <x:v>Booking fee</x:v>
      </x:c>
      <x:c r="C7" s="36" t="str">
        <x:v>All applicable booking fees</x:v>
      </x:c>
      <x:c r="D7" s="42" t="n">
        <x:v>0.21</x:v>
      </x:c>
      <x:c r="E7" s="36" t="str">
        <x:v>Apply 21% to the fee line item</x:v>
      </x:c>
      <x:c r="F7" s="36" t="str">
        <x:v>TBC</x:v>
      </x:c>
      <x:c r="G7" s="36" t="str">
        <x:v>Final</x:v>
      </x:c>
      <x:c r="H7" s="36" t="str"/>
    </x:row>
    <x:row r="8">
      <x:c r="A8" s="36" t="str">
        <x:v>VAT-003</x:v>
      </x:c>
      <x:c r="B8" s="36" t="str">
        <x:v>Expedited surcharge</x:v>
      </x:c>
      <x:c r="C8" s="36" t="str">
        <x:v>10% expedited-booking surcharge</x:v>
      </x:c>
      <x:c r="D8" s="42" t="n">
        <x:v>0.21</x:v>
      </x:c>
      <x:c r="E8" s="36" t="str">
        <x:v>Apply 21% to the surcharge line item</x:v>
      </x:c>
      <x:c r="F8" s="36" t="str">
        <x:v>TBC</x:v>
      </x:c>
      <x:c r="G8" s="36" t="str">
        <x:v>Final</x:v>
      </x:c>
      <x:c r="H8" s="36" t="str"/>
    </x:row>
    <x:row r="9">
      <x:c r="A9" s="36" t="str">
        <x:v>VAT-004</x:v>
      </x:c>
      <x:c r="B9" s="36" t="str">
        <x:v>Production</x:v>
      </x:c>
      <x:c r="C9" s="36" t="str">
        <x:v>Full-production services</x:v>
      </x:c>
      <x:c r="D9" s="42" t="n">
        <x:v>0.21</x:v>
      </x:c>
      <x:c r="E9" s="36" t="str">
        <x:v>Apply 21% to the service line item</x:v>
      </x:c>
      <x:c r="F9" s="36" t="str">
        <x:v>TBC</x:v>
      </x:c>
      <x:c r="G9" s="36" t="str">
        <x:v>Final</x:v>
      </x:c>
      <x:c r="H9" s="36" t="str"/>
    </x:row>
    <x:row r="10">
      <x:c r="A10" s="36" t="str">
        <x:v>VAT-005</x:v>
      </x:c>
      <x:c r="B10" s="36" t="str">
        <x:v>Production coordination</x:v>
      </x:c>
      <x:c r="C10" s="36" t="str">
        <x:v>Supplier, catering, furniture, access and logistics coordination</x:v>
      </x:c>
      <x:c r="D10" s="42" t="n">
        <x:v>0.21</x:v>
      </x:c>
      <x:c r="E10" s="36" t="str">
        <x:v>Apply 21% to the service line item</x:v>
      </x:c>
      <x:c r="F10" s="36" t="str">
        <x:v>TBC</x:v>
      </x:c>
      <x:c r="G10" s="36" t="str">
        <x:v>Final</x:v>
      </x:c>
      <x:c r="H10" s="36" t="str"/>
    </x:row>
    <x:row r="11">
      <x:c r="A11" s="36" t="str">
        <x:v>VAT-006</x:v>
      </x:c>
      <x:c r="B11" s="36" t="str">
        <x:v>Catering coordination / service</x:v>
      </x:c>
      <x:c r="C11" s="36" t="str">
        <x:v>Coordination, preparation, service and staffing</x:v>
      </x:c>
      <x:c r="D11" s="42" t="n">
        <x:v>0.21</x:v>
      </x:c>
      <x:c r="E11" s="36" t="str">
        <x:v>Apply 21% to the service component</x:v>
      </x:c>
      <x:c r="F11" s="36" t="str">
        <x:v>TBC</x:v>
      </x:c>
      <x:c r="G11" s="36" t="str">
        <x:v>Final</x:v>
      </x:c>
      <x:c r="H11" s="36" t="str">
        <x:v>Do not combine with food and drink products on one undifferentiated line.</x:v>
      </x:c>
    </x:row>
    <x:row r="12">
      <x:c r="A12" s="36" t="str">
        <x:v>VAT-007</x:v>
      </x:c>
      <x:c r="B12" s="36" t="str">
        <x:v>Food products</x:v>
      </x:c>
      <x:c r="C12" s="36" t="str">
        <x:v>Food supplied or sold as products</x:v>
      </x:c>
      <x:c r="D12" s="42" t="n">
        <x:v>0.09</x:v>
      </x:c>
      <x:c r="E12" s="36" t="str">
        <x:v>Apply 9% to the product component</x:v>
      </x:c>
      <x:c r="F12" s="36" t="str">
        <x:v>TBC</x:v>
      </x:c>
      <x:c r="G12" s="36" t="str">
        <x:v>Final</x:v>
      </x:c>
      <x:c r="H12" s="36" t="str"/>
    </x:row>
    <x:row r="13">
      <x:c r="A13" s="36" t="str">
        <x:v>VAT-008</x:v>
      </x:c>
      <x:c r="B13" s="36" t="str">
        <x:v>Beverage products</x:v>
      </x:c>
      <x:c r="C13" s="36" t="str">
        <x:v>Drinks supplied or sold as products</x:v>
      </x:c>
      <x:c r="D13" s="42" t="n">
        <x:v>0.09</x:v>
      </x:c>
      <x:c r="E13" s="36" t="str">
        <x:v>Apply 9% to the product component</x:v>
      </x:c>
      <x:c r="F13" s="36" t="str">
        <x:v>TBC</x:v>
      </x:c>
      <x:c r="G13" s="36" t="str">
        <x:v>Final</x:v>
      </x:c>
      <x:c r="H13" s="36" t="str"/>
    </x:row>
    <x:row r="14">
      <x:c r="A14" s="36" t="str">
        <x:v>VAT-009</x:v>
      </x:c>
      <x:c r="B14" s="36" t="str">
        <x:v>Mixed catering</x:v>
      </x:c>
      <x:c r="C14" s="36" t="str">
        <x:v>Catering service plus food and/or beverages</x:v>
      </x:c>
      <x:c r="D14" s="42" t="str">
        <x:v>Split</x:v>
      </x:c>
      <x:c r="E14" s="36" t="str">
        <x:v>Service → 21%; food and beverage products → 9%</x:v>
      </x:c>
      <x:c r="F14" s="36" t="str">
        <x:v>TBC</x:v>
      </x:c>
      <x:c r="G14" s="36" t="str">
        <x:v>Final</x:v>
      </x:c>
      <x:c r="H14" s="36" t="str">
        <x:v>Create separate proposal and invoice line items.</x:v>
      </x:c>
    </x:row>
    <x:row r="15">
      <x:c r="A15" s="36" t="str">
        <x:v>VAT-010</x:v>
      </x:c>
      <x:c r="B15" s="36" t="str">
        <x:v>Rental and staff overtime</x:v>
      </x:c>
      <x:c r="C15" s="36" t="str">
        <x:v>Rental overtime; staff overtime</x:v>
      </x:c>
      <x:c r="D15" s="42" t="n">
        <x:v>0.21</x:v>
      </x:c>
      <x:c r="E15" s="36" t="str">
        <x:v>Apply 21% to the overtime service line item</x:v>
      </x:c>
      <x:c r="F15" s="36" t="str">
        <x:v>TBC</x:v>
      </x:c>
      <x:c r="G15" s="36" t="str">
        <x:v>Final</x:v>
      </x:c>
      <x:c r="H15" s="36" t="str"/>
    </x:row>
    <x:row r="16">
      <x:c r="A16" s="36" t="str">
        <x:v>VAT-011</x:v>
      </x:c>
      <x:c r="B16" s="36" t="str">
        <x:v>Facilitator class-cancellation charge</x:v>
      </x:c>
      <x:c r="C16" s="36" t="str">
        <x:v>€45 per facilitator hour charged to client</x:v>
      </x:c>
      <x:c r="D16" s="42" t="n">
        <x:v>0.21</x:v>
      </x:c>
      <x:c r="E16" s="36" t="str">
        <x:v>Apply 21% to the client invoice line item</x:v>
      </x:c>
      <x:c r="F16" s="36" t="str">
        <x:v>TBC</x:v>
      </x:c>
      <x:c r="G16" s="36" t="str">
        <x:v>Final</x:v>
      </x:c>
      <x:c r="H16" s="36" t="str">
        <x:v>Standard rate is recorded excluding VAT.</x:v>
      </x:c>
    </x:row>
  </x:sheetData>
  <x:mergeCells>
    <x:mergeCell ref="A1:H1"/>
    <x:mergeCell ref="A2:H2"/>
    <x:mergeCell ref="A3:H3"/>
  </x:mergeCells>
  <x:conditionalFormatting sqref="G6:G16">
    <x:cfRule type="expression" dxfId="21" priority="1">
      <x:formula>ISNUMBER(SEARCH("Final",G6))</x:formula>
    </x:cfRule>
    <x:cfRule type="expression" dxfId="22" priority="2">
      <x:formula>ISNUMBER(SEARCH("Working",G6))</x:formula>
    </x:cfRule>
    <x:cfRule type="expression" dxfId="23" priority="3">
      <x:formula>OR(ISNUMBER(SEARCH("TBC",G6)),ISNUMBER(SEARCH("confirm",G6)))</x:formula>
    </x:cfRule>
  </x:conditionalFormatting>
  <x:dataValidations count="1">
    <x:dataValidation type="list" sqref="G6:G16">
      <x:formula1>"Final,Working,TBC"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6" hidden="0" customWidth="1"/>
    <x:col min="3" max="3" width="20" hidden="0" customWidth="1"/>
    <x:col min="4" max="4" width="16" hidden="0" customWidth="1"/>
    <x:col min="5" max="5" width="14" hidden="0" customWidth="1"/>
    <x:col min="6" max="6" width="20" hidden="0" customWidth="1"/>
    <x:col min="7" max="7" width="20" hidden="0" customWidth="1"/>
    <x:col min="8" max="8" width="14" hidden="0" customWidth="1"/>
    <x:col min="9" max="9" width="15" hidden="0" customWidth="1"/>
    <x:col min="10" max="10" width="17" hidden="0" customWidth="1"/>
    <x:col min="11" max="11" width="10" hidden="0" customWidth="1"/>
    <x:col min="12" max="12" width="17" hidden="0" customWidth="1"/>
    <x:col min="13" max="13" width="18" hidden="0" customWidth="1"/>
    <x:col min="14" max="14" width="22" hidden="0" customWidth="1"/>
  </x:cols>
  <x:sheetData>
    <x:row r="1" ht="30" customHeight="1">
      <x:c r="A1" s="62" t="str">
        <x:v>WNC Rental Pricing, Fees &amp; Payment Rules — Class-Cancellation Charges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</x:row>
    <x:row r="2" ht="42" customHeight="1">
      <x:c r="A2" s="13" t="str">
        <x:v>When a rental is confirmed 30 days or fewer before the event and a scheduled class must be cancelled, the client pays the facilitator cancellation charge. Use the tracker below for each affected class.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 ht="28" customHeight="1">
      <x:c r="A3" s="21" t="str">
        <x:v>AUTHORITATIVE COMMERCIAL MASTER  |  Amounts are excluding VAT unless stated otherwise. TBC items must be confirmed before client use.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</x:row>
    <x:row r="4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66"/>
      <x:c r="M4" s="66"/>
      <x:c r="N4" s="66"/>
    </x:row>
    <x:row r="5">
      <x:c r="A5" s="68" t="str">
        <x:v>Canonical rule</x:v>
      </x:c>
      <x:c r="B5" s="68"/>
      <x:c r="C5" s="68"/>
      <x:c r="D5" s="68"/>
      <x:c r="E5" s="68"/>
      <x:c r="F5" s="68"/>
      <x:c r="G5" s="68"/>
      <x:c r="H5" s="68"/>
      <x:c r="I5" s="68"/>
      <x:c r="J5" s="68"/>
      <x:c r="K5" s="68"/>
      <x:c r="L5" s="68"/>
      <x:c r="M5" s="68"/>
      <x:c r="N5" s="68"/>
    </x:row>
    <x:row r="6">
      <x:c r="A6" s="29" t="str">
        <x:v>Rule ID</x:v>
      </x:c>
      <x:c r="B6" s="29" t="str">
        <x:v>Trigger</x:v>
      </x:c>
      <x:c r="C6" s="29" t="str">
        <x:v>Standard rate excl. VAT</x:v>
      </x:c>
      <x:c r="D6" s="29" t="str">
        <x:v>Typical class hours</x:v>
      </x:c>
      <x:c r="E6" s="29" t="str">
        <x:v>Client invoicing</x:v>
      </x:c>
      <x:c r="F6" s="29" t="str">
        <x:v>Facilitator payment</x:v>
      </x:c>
      <x:c r="G6" s="29" t="str">
        <x:v>VAT rate</x:v>
      </x:c>
      <x:c r="H6" s="29" t="str">
        <x:v>Effective date</x:v>
      </x:c>
      <x:c r="I6" s="29" t="str">
        <x:v>Rule status</x:v>
      </x:c>
      <x:c r="J6" s="29" t="str">
        <x:v>Notes</x:v>
      </x:c>
      <x:c r="K6" s="66" t="str"/>
      <x:c r="L6" s="66" t="str"/>
      <x:c r="M6" s="66" t="str"/>
      <x:c r="N6" s="66" t="str"/>
    </x:row>
    <x:row r="7">
      <x:c r="A7" s="36" t="str">
        <x:v>CC-001</x:v>
      </x:c>
      <x:c r="B7" s="36" t="str">
        <x:v>Rental confirmed 30 days or fewer before event and a scheduled class is cancelled to accommodate it</x:v>
      </x:c>
      <x:c r="C7" s="40" t="n">
        <x:v>45</x:v>
      </x:c>
      <x:c r="D7" s="36" t="str">
        <x:v>Normally 1–3 hours</x:v>
      </x:c>
      <x:c r="E7" s="36" t="str">
        <x:v>Add to final client invoice</x:v>
      </x:c>
      <x:c r="F7" s="36" t="str">
        <x:v>WNC guarantees facilitator payment</x:v>
      </x:c>
      <x:c r="G7" s="42" t="n">
        <x:v>0.21</x:v>
      </x:c>
      <x:c r="H7" s="36" t="str">
        <x:v>TBC</x:v>
      </x:c>
      <x:c r="I7" s="36" t="str">
        <x:v>Final</x:v>
      </x:c>
      <x:c r="J7" s="36" t="str">
        <x:v>Rate is per facilitator hour, excluding VAT.</x:v>
      </x:c>
      <x:c r="K7" s="66"/>
      <x:c r="L7" s="66"/>
      <x:c r="M7" s="66"/>
      <x:c r="N7" s="66"/>
    </x:row>
    <x:row r="8">
      <x:c r="A8" s="66"/>
      <x:c r="B8" s="66"/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</x:row>
    <x:row r="9">
      <x:c r="A9" s="66"/>
      <x:c r="B9" s="66"/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</x:row>
    <x:row r="10">
      <x:c r="A10" s="68" t="str">
        <x:v>Charge tracker</x:v>
      </x:c>
      <x:c r="B10" s="68"/>
      <x:c r="C10" s="68"/>
      <x:c r="D10" s="68"/>
      <x:c r="E10" s="68"/>
      <x:c r="F10" s="68"/>
      <x:c r="G10" s="68"/>
      <x:c r="H10" s="68"/>
      <x:c r="I10" s="68"/>
      <x:c r="J10" s="68"/>
      <x:c r="K10" s="68"/>
      <x:c r="L10" s="68"/>
      <x:c r="M10" s="68"/>
      <x:c r="N10" s="68"/>
    </x:row>
    <x:row r="11">
      <x:c r="A11" s="29" t="str">
        <x:v>Charge ID</x:v>
      </x:c>
      <x:c r="B11" s="29" t="str">
        <x:v>Rental / event</x:v>
      </x:c>
      <x:c r="C11" s="29" t="str">
        <x:v>Facilitator</x:v>
      </x:c>
      <x:c r="D11" s="29" t="str">
        <x:v>Standard rate excl. VAT</x:v>
      </x:c>
      <x:c r="E11" s="29" t="str">
        <x:v>Number of hours</x:v>
      </x:c>
      <x:c r="F11" s="29" t="str">
        <x:v>Rental confirmation date</x:v>
      </x:c>
      <x:c r="G11" s="29" t="str">
        <x:v>Class cancellation date</x:v>
      </x:c>
      <x:c r="H11" s="29" t="str">
        <x:v>Event date</x:v>
      </x:c>
      <x:c r="I11" s="29" t="str">
        <x:v>Days before event</x:v>
      </x:c>
      <x:c r="J11" s="29" t="str">
        <x:v>Client charge excl. VAT</x:v>
      </x:c>
      <x:c r="K11" s="29" t="str">
        <x:v>VAT rate</x:v>
      </x:c>
      <x:c r="L11" s="29" t="str">
        <x:v>Client charge incl. VAT</x:v>
      </x:c>
      <x:c r="M11" s="29" t="str">
        <x:v>Paid to facilitator</x:v>
      </x:c>
      <x:c r="N11" s="29" t="str">
        <x:v>Facilitator payment date</x:v>
      </x:c>
    </x:row>
    <x:row r="12">
      <x:c r="A12" s="36" t="str">
        <x:v>CC-0001</x:v>
      </x:c>
      <x:c r="B12" s="36" t="str"/>
      <x:c r="C12" s="36" t="str"/>
      <x:c r="D12" s="40" t="n">
        <x:v>45</x:v>
      </x:c>
      <x:c r="E12" s="56" t="str"/>
      <x:c r="F12" s="58" t="str"/>
      <x:c r="G12" s="58" t="str"/>
      <x:c r="H12" s="58" t="str"/>
      <x:c r="I12" s="60" t="str">
        <x:f>IF(OR(F12="",H12=""),"",H12-F12)</x:f>
      </x:c>
      <x:c r="J12" s="40" t="str">
        <x:f>IF(OR(D12="",E12=""),"",D12*E12)</x:f>
      </x:c>
      <x:c r="K12" s="42" t="n">
        <x:v>0.21</x:v>
      </x:c>
      <x:c r="L12" s="40" t="str">
        <x:f>IF(OR(J12="",K12=""),"",J12*(1+K12))</x:f>
      </x:c>
      <x:c r="M12" s="36" t="str">
        <x:v>Pending</x:v>
      </x:c>
      <x:c r="N12" s="58" t="str"/>
    </x:row>
    <x:row r="13">
      <x:c r="A13" s="36" t="str">
        <x:v>CC-0002</x:v>
      </x:c>
      <x:c r="B13" s="36" t="str"/>
      <x:c r="C13" s="36" t="str"/>
      <x:c r="D13" s="40" t="n">
        <x:v>45</x:v>
      </x:c>
      <x:c r="E13" s="56" t="str"/>
      <x:c r="F13" s="58" t="str"/>
      <x:c r="G13" s="58" t="str"/>
      <x:c r="H13" s="58" t="str"/>
      <x:c r="I13" s="60" t="str">
        <x:f>IF(OR(F13="",H13=""),"",H13-F13)</x:f>
      </x:c>
      <x:c r="J13" s="40" t="str">
        <x:f>IF(OR(D13="",E13=""),"",D13*E13)</x:f>
      </x:c>
      <x:c r="K13" s="42" t="n">
        <x:v>0.21</x:v>
      </x:c>
      <x:c r="L13" s="40" t="str">
        <x:f>IF(OR(J13="",K13=""),"",J13*(1+K13))</x:f>
      </x:c>
      <x:c r="M13" s="36" t="str">
        <x:v>Pending</x:v>
      </x:c>
      <x:c r="N13" s="58" t="str"/>
    </x:row>
    <x:row r="14">
      <x:c r="A14" s="36" t="str">
        <x:v>CC-0003</x:v>
      </x:c>
      <x:c r="B14" s="36" t="str"/>
      <x:c r="C14" s="36" t="str"/>
      <x:c r="D14" s="40" t="n">
        <x:v>45</x:v>
      </x:c>
      <x:c r="E14" s="56" t="str"/>
      <x:c r="F14" s="58" t="str"/>
      <x:c r="G14" s="58" t="str"/>
      <x:c r="H14" s="58" t="str"/>
      <x:c r="I14" s="60" t="str">
        <x:f>IF(OR(F14="",H14=""),"",H14-F14)</x:f>
      </x:c>
      <x:c r="J14" s="40" t="str">
        <x:f>IF(OR(D14="",E14=""),"",D14*E14)</x:f>
      </x:c>
      <x:c r="K14" s="42" t="n">
        <x:v>0.21</x:v>
      </x:c>
      <x:c r="L14" s="40" t="str">
        <x:f>IF(OR(J14="",K14=""),"",J14*(1+K14))</x:f>
      </x:c>
      <x:c r="M14" s="36" t="str">
        <x:v>Pending</x:v>
      </x:c>
      <x:c r="N14" s="58" t="str"/>
    </x:row>
    <x:row r="15">
      <x:c r="A15" s="36" t="str">
        <x:v>CC-0004</x:v>
      </x:c>
      <x:c r="B15" s="36" t="str"/>
      <x:c r="C15" s="36" t="str"/>
      <x:c r="D15" s="40" t="n">
        <x:v>45</x:v>
      </x:c>
      <x:c r="E15" s="56" t="str"/>
      <x:c r="F15" s="58" t="str"/>
      <x:c r="G15" s="58" t="str"/>
      <x:c r="H15" s="58" t="str"/>
      <x:c r="I15" s="60" t="str">
        <x:f>IF(OR(F15="",H15=""),"",H15-F15)</x:f>
      </x:c>
      <x:c r="J15" s="40" t="str">
        <x:f>IF(OR(D15="",E15=""),"",D15*E15)</x:f>
      </x:c>
      <x:c r="K15" s="42" t="n">
        <x:v>0.21</x:v>
      </x:c>
      <x:c r="L15" s="40" t="str">
        <x:f>IF(OR(J15="",K15=""),"",J15*(1+K15))</x:f>
      </x:c>
      <x:c r="M15" s="36" t="str">
        <x:v>Pending</x:v>
      </x:c>
      <x:c r="N15" s="58" t="str"/>
    </x:row>
    <x:row r="16">
      <x:c r="A16" s="36" t="str">
        <x:v>CC-0005</x:v>
      </x:c>
      <x:c r="B16" s="36" t="str"/>
      <x:c r="C16" s="36" t="str"/>
      <x:c r="D16" s="40" t="n">
        <x:v>45</x:v>
      </x:c>
      <x:c r="E16" s="56" t="str"/>
      <x:c r="F16" s="58" t="str"/>
      <x:c r="G16" s="58" t="str"/>
      <x:c r="H16" s="58" t="str"/>
      <x:c r="I16" s="60" t="str">
        <x:f>IF(OR(F16="",H16=""),"",H16-F16)</x:f>
      </x:c>
      <x:c r="J16" s="40" t="str">
        <x:f>IF(OR(D16="",E16=""),"",D16*E16)</x:f>
      </x:c>
      <x:c r="K16" s="42" t="n">
        <x:v>0.21</x:v>
      </x:c>
      <x:c r="L16" s="40" t="str">
        <x:f>IF(OR(J16="",K16=""),"",J16*(1+K16))</x:f>
      </x:c>
      <x:c r="M16" s="36" t="str">
        <x:v>Pending</x:v>
      </x:c>
      <x:c r="N16" s="58" t="str"/>
    </x:row>
    <x:row r="17">
      <x:c r="A17" s="36" t="str">
        <x:v>CC-0006</x:v>
      </x:c>
      <x:c r="B17" s="36" t="str"/>
      <x:c r="C17" s="36" t="str"/>
      <x:c r="D17" s="40" t="n">
        <x:v>45</x:v>
      </x:c>
      <x:c r="E17" s="56" t="str"/>
      <x:c r="F17" s="58" t="str"/>
      <x:c r="G17" s="58" t="str"/>
      <x:c r="H17" s="58" t="str"/>
      <x:c r="I17" s="60" t="str">
        <x:f>IF(OR(F17="",H17=""),"",H17-F17)</x:f>
      </x:c>
      <x:c r="J17" s="40" t="str">
        <x:f>IF(OR(D17="",E17=""),"",D17*E17)</x:f>
      </x:c>
      <x:c r="K17" s="42" t="n">
        <x:v>0.21</x:v>
      </x:c>
      <x:c r="L17" s="40" t="str">
        <x:f>IF(OR(J17="",K17=""),"",J17*(1+K17))</x:f>
      </x:c>
      <x:c r="M17" s="36" t="str">
        <x:v>Pending</x:v>
      </x:c>
      <x:c r="N17" s="58" t="str"/>
    </x:row>
    <x:row r="18">
      <x:c r="A18" s="36" t="str">
        <x:v>CC-0007</x:v>
      </x:c>
      <x:c r="B18" s="36" t="str"/>
      <x:c r="C18" s="36" t="str"/>
      <x:c r="D18" s="40" t="n">
        <x:v>45</x:v>
      </x:c>
      <x:c r="E18" s="56" t="str"/>
      <x:c r="F18" s="58" t="str"/>
      <x:c r="G18" s="58" t="str"/>
      <x:c r="H18" s="58" t="str"/>
      <x:c r="I18" s="60" t="str">
        <x:f>IF(OR(F18="",H18=""),"",H18-F18)</x:f>
      </x:c>
      <x:c r="J18" s="40" t="str">
        <x:f>IF(OR(D18="",E18=""),"",D18*E18)</x:f>
      </x:c>
      <x:c r="K18" s="42" t="n">
        <x:v>0.21</x:v>
      </x:c>
      <x:c r="L18" s="40" t="str">
        <x:f>IF(OR(J18="",K18=""),"",J18*(1+K18))</x:f>
      </x:c>
      <x:c r="M18" s="36" t="str">
        <x:v>Pending</x:v>
      </x:c>
      <x:c r="N18" s="58" t="str"/>
    </x:row>
    <x:row r="19">
      <x:c r="A19" s="36" t="str">
        <x:v>CC-0008</x:v>
      </x:c>
      <x:c r="B19" s="36" t="str"/>
      <x:c r="C19" s="36" t="str"/>
      <x:c r="D19" s="40" t="n">
        <x:v>45</x:v>
      </x:c>
      <x:c r="E19" s="56" t="str"/>
      <x:c r="F19" s="58" t="str"/>
      <x:c r="G19" s="58" t="str"/>
      <x:c r="H19" s="58" t="str"/>
      <x:c r="I19" s="60" t="str">
        <x:f>IF(OR(F19="",H19=""),"",H19-F19)</x:f>
      </x:c>
      <x:c r="J19" s="40" t="str">
        <x:f>IF(OR(D19="",E19=""),"",D19*E19)</x:f>
      </x:c>
      <x:c r="K19" s="42" t="n">
        <x:v>0.21</x:v>
      </x:c>
      <x:c r="L19" s="40" t="str">
        <x:f>IF(OR(J19="",K19=""),"",J19*(1+K19))</x:f>
      </x:c>
      <x:c r="M19" s="36" t="str">
        <x:v>Pending</x:v>
      </x:c>
      <x:c r="N19" s="58" t="str"/>
    </x:row>
    <x:row r="20">
      <x:c r="A20" s="36" t="str">
        <x:v>CC-0009</x:v>
      </x:c>
      <x:c r="B20" s="36" t="str"/>
      <x:c r="C20" s="36" t="str"/>
      <x:c r="D20" s="40" t="n">
        <x:v>45</x:v>
      </x:c>
      <x:c r="E20" s="56" t="str"/>
      <x:c r="F20" s="58" t="str"/>
      <x:c r="G20" s="58" t="str"/>
      <x:c r="H20" s="58" t="str"/>
      <x:c r="I20" s="60" t="str">
        <x:f>IF(OR(F20="",H20=""),"",H20-F20)</x:f>
      </x:c>
      <x:c r="J20" s="40" t="str">
        <x:f>IF(OR(D20="",E20=""),"",D20*E20)</x:f>
      </x:c>
      <x:c r="K20" s="42" t="n">
        <x:v>0.21</x:v>
      </x:c>
      <x:c r="L20" s="40" t="str">
        <x:f>IF(OR(J20="",K20=""),"",J20*(1+K20))</x:f>
      </x:c>
      <x:c r="M20" s="36" t="str">
        <x:v>Pending</x:v>
      </x:c>
      <x:c r="N20" s="58" t="str"/>
    </x:row>
    <x:row r="21">
      <x:c r="A21" s="36" t="str">
        <x:v>CC-0010</x:v>
      </x:c>
      <x:c r="B21" s="36" t="str"/>
      <x:c r="C21" s="36" t="str"/>
      <x:c r="D21" s="40" t="n">
        <x:v>45</x:v>
      </x:c>
      <x:c r="E21" s="56" t="str"/>
      <x:c r="F21" s="58" t="str"/>
      <x:c r="G21" s="58" t="str"/>
      <x:c r="H21" s="58" t="str"/>
      <x:c r="I21" s="60" t="str">
        <x:f>IF(OR(F21="",H21=""),"",H21-F21)</x:f>
      </x:c>
      <x:c r="J21" s="40" t="str">
        <x:f>IF(OR(D21="",E21=""),"",D21*E21)</x:f>
      </x:c>
      <x:c r="K21" s="42" t="n">
        <x:v>0.21</x:v>
      </x:c>
      <x:c r="L21" s="40" t="str">
        <x:f>IF(OR(J21="",K21=""),"",J21*(1+K21))</x:f>
      </x:c>
      <x:c r="M21" s="36" t="str">
        <x:v>Pending</x:v>
      </x:c>
      <x:c r="N21" s="58" t="str"/>
    </x:row>
    <x:row r="22">
      <x:c r="A22" s="36" t="str">
        <x:v>CC-0011</x:v>
      </x:c>
      <x:c r="B22" s="36" t="str"/>
      <x:c r="C22" s="36" t="str"/>
      <x:c r="D22" s="40" t="n">
        <x:v>45</x:v>
      </x:c>
      <x:c r="E22" s="56" t="str"/>
      <x:c r="F22" s="58" t="str"/>
      <x:c r="G22" s="58" t="str"/>
      <x:c r="H22" s="58" t="str"/>
      <x:c r="I22" s="60" t="str">
        <x:f>IF(OR(F22="",H22=""),"",H22-F22)</x:f>
      </x:c>
      <x:c r="J22" s="40" t="str">
        <x:f>IF(OR(D22="",E22=""),"",D22*E22)</x:f>
      </x:c>
      <x:c r="K22" s="42" t="n">
        <x:v>0.21</x:v>
      </x:c>
      <x:c r="L22" s="40" t="str">
        <x:f>IF(OR(J22="",K22=""),"",J22*(1+K22))</x:f>
      </x:c>
      <x:c r="M22" s="36" t="str">
        <x:v>Pending</x:v>
      </x:c>
      <x:c r="N22" s="58" t="str"/>
    </x:row>
    <x:row r="23">
      <x:c r="A23" s="36" t="str">
        <x:v>CC-0012</x:v>
      </x:c>
      <x:c r="B23" s="36" t="str"/>
      <x:c r="C23" s="36" t="str"/>
      <x:c r="D23" s="40" t="n">
        <x:v>45</x:v>
      </x:c>
      <x:c r="E23" s="56" t="str"/>
      <x:c r="F23" s="58" t="str"/>
      <x:c r="G23" s="58" t="str"/>
      <x:c r="H23" s="58" t="str"/>
      <x:c r="I23" s="60" t="str">
        <x:f>IF(OR(F23="",H23=""),"",H23-F23)</x:f>
      </x:c>
      <x:c r="J23" s="40" t="str">
        <x:f>IF(OR(D23="",E23=""),"",D23*E23)</x:f>
      </x:c>
      <x:c r="K23" s="42" t="n">
        <x:v>0.21</x:v>
      </x:c>
      <x:c r="L23" s="40" t="str">
        <x:f>IF(OR(J23="",K23=""),"",J23*(1+K23))</x:f>
      </x:c>
      <x:c r="M23" s="36" t="str">
        <x:v>Pending</x:v>
      </x:c>
      <x:c r="N23" s="58" t="str"/>
    </x:row>
    <x:row r="24">
      <x:c r="A24" s="36" t="str">
        <x:v>CC-0013</x:v>
      </x:c>
      <x:c r="B24" s="36" t="str"/>
      <x:c r="C24" s="36" t="str"/>
      <x:c r="D24" s="40" t="n">
        <x:v>45</x:v>
      </x:c>
      <x:c r="E24" s="56" t="str"/>
      <x:c r="F24" s="58" t="str"/>
      <x:c r="G24" s="58" t="str"/>
      <x:c r="H24" s="58" t="str"/>
      <x:c r="I24" s="60" t="str">
        <x:f>IF(OR(F24="",H24=""),"",H24-F24)</x:f>
      </x:c>
      <x:c r="J24" s="40" t="str">
        <x:f>IF(OR(D24="",E24=""),"",D24*E24)</x:f>
      </x:c>
      <x:c r="K24" s="42" t="n">
        <x:v>0.21</x:v>
      </x:c>
      <x:c r="L24" s="40" t="str">
        <x:f>IF(OR(J24="",K24=""),"",J24*(1+K24))</x:f>
      </x:c>
      <x:c r="M24" s="36" t="str">
        <x:v>Pending</x:v>
      </x:c>
      <x:c r="N24" s="58" t="str"/>
    </x:row>
    <x:row r="25">
      <x:c r="A25" s="36" t="str">
        <x:v>CC-0014</x:v>
      </x:c>
      <x:c r="B25" s="36" t="str"/>
      <x:c r="C25" s="36" t="str"/>
      <x:c r="D25" s="40" t="n">
        <x:v>45</x:v>
      </x:c>
      <x:c r="E25" s="56" t="str"/>
      <x:c r="F25" s="58" t="str"/>
      <x:c r="G25" s="58" t="str"/>
      <x:c r="H25" s="58" t="str"/>
      <x:c r="I25" s="60" t="str">
        <x:f>IF(OR(F25="",H25=""),"",H25-F25)</x:f>
      </x:c>
      <x:c r="J25" s="40" t="str">
        <x:f>IF(OR(D25="",E25=""),"",D25*E25)</x:f>
      </x:c>
      <x:c r="K25" s="42" t="n">
        <x:v>0.21</x:v>
      </x:c>
      <x:c r="L25" s="40" t="str">
        <x:f>IF(OR(J25="",K25=""),"",J25*(1+K25))</x:f>
      </x:c>
      <x:c r="M25" s="36" t="str">
        <x:v>Pending</x:v>
      </x:c>
      <x:c r="N25" s="58" t="str"/>
    </x:row>
    <x:row r="26">
      <x:c r="A26" s="36" t="str">
        <x:v>CC-0015</x:v>
      </x:c>
      <x:c r="B26" s="36" t="str"/>
      <x:c r="C26" s="36" t="str"/>
      <x:c r="D26" s="40" t="n">
        <x:v>45</x:v>
      </x:c>
      <x:c r="E26" s="56" t="str"/>
      <x:c r="F26" s="58" t="str"/>
      <x:c r="G26" s="58" t="str"/>
      <x:c r="H26" s="58" t="str"/>
      <x:c r="I26" s="60" t="str">
        <x:f>IF(OR(F26="",H26=""),"",H26-F26)</x:f>
      </x:c>
      <x:c r="J26" s="40" t="str">
        <x:f>IF(OR(D26="",E26=""),"",D26*E26)</x:f>
      </x:c>
      <x:c r="K26" s="42" t="n">
        <x:v>0.21</x:v>
      </x:c>
      <x:c r="L26" s="40" t="str">
        <x:f>IF(OR(J26="",K26=""),"",J26*(1+K26))</x:f>
      </x:c>
      <x:c r="M26" s="36" t="str">
        <x:v>Pending</x:v>
      </x:c>
      <x:c r="N26" s="58" t="str"/>
    </x:row>
    <x:row r="27">
      <x:c r="A27" s="36" t="str">
        <x:v>CC-0016</x:v>
      </x:c>
      <x:c r="B27" s="36" t="str"/>
      <x:c r="C27" s="36" t="str"/>
      <x:c r="D27" s="40" t="n">
        <x:v>45</x:v>
      </x:c>
      <x:c r="E27" s="56" t="str"/>
      <x:c r="F27" s="58" t="str"/>
      <x:c r="G27" s="58" t="str"/>
      <x:c r="H27" s="58" t="str"/>
      <x:c r="I27" s="60" t="str">
        <x:f>IF(OR(F27="",H27=""),"",H27-F27)</x:f>
      </x:c>
      <x:c r="J27" s="40" t="str">
        <x:f>IF(OR(D27="",E27=""),"",D27*E27)</x:f>
      </x:c>
      <x:c r="K27" s="42" t="n">
        <x:v>0.21</x:v>
      </x:c>
      <x:c r="L27" s="40" t="str">
        <x:f>IF(OR(J27="",K27=""),"",J27*(1+K27))</x:f>
      </x:c>
      <x:c r="M27" s="36" t="str">
        <x:v>Pending</x:v>
      </x:c>
      <x:c r="N27" s="58" t="str"/>
    </x:row>
    <x:row r="28">
      <x:c r="A28" s="36" t="str">
        <x:v>CC-0017</x:v>
      </x:c>
      <x:c r="B28" s="36" t="str"/>
      <x:c r="C28" s="36" t="str"/>
      <x:c r="D28" s="40" t="n">
        <x:v>45</x:v>
      </x:c>
      <x:c r="E28" s="56" t="str"/>
      <x:c r="F28" s="58" t="str"/>
      <x:c r="G28" s="58" t="str"/>
      <x:c r="H28" s="58" t="str"/>
      <x:c r="I28" s="60" t="str">
        <x:f>IF(OR(F28="",H28=""),"",H28-F28)</x:f>
      </x:c>
      <x:c r="J28" s="40" t="str">
        <x:f>IF(OR(D28="",E28=""),"",D28*E28)</x:f>
      </x:c>
      <x:c r="K28" s="42" t="n">
        <x:v>0.21</x:v>
      </x:c>
      <x:c r="L28" s="40" t="str">
        <x:f>IF(OR(J28="",K28=""),"",J28*(1+K28))</x:f>
      </x:c>
      <x:c r="M28" s="36" t="str">
        <x:v>Pending</x:v>
      </x:c>
      <x:c r="N28" s="58" t="str"/>
    </x:row>
    <x:row r="29">
      <x:c r="A29" s="36" t="str">
        <x:v>CC-0018</x:v>
      </x:c>
      <x:c r="B29" s="36" t="str"/>
      <x:c r="C29" s="36" t="str"/>
      <x:c r="D29" s="40" t="n">
        <x:v>45</x:v>
      </x:c>
      <x:c r="E29" s="56" t="str"/>
      <x:c r="F29" s="58" t="str"/>
      <x:c r="G29" s="58" t="str"/>
      <x:c r="H29" s="58" t="str"/>
      <x:c r="I29" s="60" t="str">
        <x:f>IF(OR(F29="",H29=""),"",H29-F29)</x:f>
      </x:c>
      <x:c r="J29" s="40" t="str">
        <x:f>IF(OR(D29="",E29=""),"",D29*E29)</x:f>
      </x:c>
      <x:c r="K29" s="42" t="n">
        <x:v>0.21</x:v>
      </x:c>
      <x:c r="L29" s="40" t="str">
        <x:f>IF(OR(J29="",K29=""),"",J29*(1+K29))</x:f>
      </x:c>
      <x:c r="M29" s="36" t="str">
        <x:v>Pending</x:v>
      </x:c>
      <x:c r="N29" s="58" t="str"/>
    </x:row>
    <x:row r="30">
      <x:c r="A30" s="36" t="str">
        <x:v>CC-0019</x:v>
      </x:c>
      <x:c r="B30" s="36" t="str"/>
      <x:c r="C30" s="36" t="str"/>
      <x:c r="D30" s="40" t="n">
        <x:v>45</x:v>
      </x:c>
      <x:c r="E30" s="56" t="str"/>
      <x:c r="F30" s="58" t="str"/>
      <x:c r="G30" s="58" t="str"/>
      <x:c r="H30" s="58" t="str"/>
      <x:c r="I30" s="60" t="str">
        <x:f>IF(OR(F30="",H30=""),"",H30-F30)</x:f>
      </x:c>
      <x:c r="J30" s="40" t="str">
        <x:f>IF(OR(D30="",E30=""),"",D30*E30)</x:f>
      </x:c>
      <x:c r="K30" s="42" t="n">
        <x:v>0.21</x:v>
      </x:c>
      <x:c r="L30" s="40" t="str">
        <x:f>IF(OR(J30="",K30=""),"",J30*(1+K30))</x:f>
      </x:c>
      <x:c r="M30" s="36" t="str">
        <x:v>Pending</x:v>
      </x:c>
      <x:c r="N30" s="58" t="str"/>
    </x:row>
    <x:row r="31">
      <x:c r="A31" s="36" t="str">
        <x:v>CC-0020</x:v>
      </x:c>
      <x:c r="B31" s="36" t="str"/>
      <x:c r="C31" s="36" t="str"/>
      <x:c r="D31" s="40" t="n">
        <x:v>45</x:v>
      </x:c>
      <x:c r="E31" s="56" t="str"/>
      <x:c r="F31" s="58" t="str"/>
      <x:c r="G31" s="58" t="str"/>
      <x:c r="H31" s="58" t="str"/>
      <x:c r="I31" s="60" t="str">
        <x:f>IF(OR(F31="",H31=""),"",H31-F31)</x:f>
      </x:c>
      <x:c r="J31" s="40" t="str">
        <x:f>IF(OR(D31="",E31=""),"",D31*E31)</x:f>
      </x:c>
      <x:c r="K31" s="42" t="n">
        <x:v>0.21</x:v>
      </x:c>
      <x:c r="L31" s="40" t="str">
        <x:f>IF(OR(J31="",K31=""),"",J31*(1+K31))</x:f>
      </x:c>
      <x:c r="M31" s="36" t="str">
        <x:v>Pending</x:v>
      </x:c>
      <x:c r="N31" s="58" t="str"/>
    </x:row>
    <x:row r="32">
      <x:c r="A32" s="36" t="str">
        <x:v>CC-0021</x:v>
      </x:c>
      <x:c r="B32" s="36" t="str"/>
      <x:c r="C32" s="36" t="str"/>
      <x:c r="D32" s="40" t="n">
        <x:v>45</x:v>
      </x:c>
      <x:c r="E32" s="56" t="str"/>
      <x:c r="F32" s="58" t="str"/>
      <x:c r="G32" s="58" t="str"/>
      <x:c r="H32" s="58" t="str"/>
      <x:c r="I32" s="60" t="str">
        <x:f>IF(OR(F32="",H32=""),"",H32-F32)</x:f>
      </x:c>
      <x:c r="J32" s="40" t="str">
        <x:f>IF(OR(D32="",E32=""),"",D32*E32)</x:f>
      </x:c>
      <x:c r="K32" s="42" t="n">
        <x:v>0.21</x:v>
      </x:c>
      <x:c r="L32" s="40" t="str">
        <x:f>IF(OR(J32="",K32=""),"",J32*(1+K32))</x:f>
      </x:c>
      <x:c r="M32" s="36" t="str">
        <x:v>Pending</x:v>
      </x:c>
      <x:c r="N32" s="58" t="str"/>
    </x:row>
    <x:row r="33">
      <x:c r="A33" s="36" t="str">
        <x:v>CC-0022</x:v>
      </x:c>
      <x:c r="B33" s="36" t="str"/>
      <x:c r="C33" s="36" t="str"/>
      <x:c r="D33" s="40" t="n">
        <x:v>45</x:v>
      </x:c>
      <x:c r="E33" s="56" t="str"/>
      <x:c r="F33" s="58" t="str"/>
      <x:c r="G33" s="58" t="str"/>
      <x:c r="H33" s="58" t="str"/>
      <x:c r="I33" s="60" t="str">
        <x:f>IF(OR(F33="",H33=""),"",H33-F33)</x:f>
      </x:c>
      <x:c r="J33" s="40" t="str">
        <x:f>IF(OR(D33="",E33=""),"",D33*E33)</x:f>
      </x:c>
      <x:c r="K33" s="42" t="n">
        <x:v>0.21</x:v>
      </x:c>
      <x:c r="L33" s="40" t="str">
        <x:f>IF(OR(J33="",K33=""),"",J33*(1+K33))</x:f>
      </x:c>
      <x:c r="M33" s="36" t="str">
        <x:v>Pending</x:v>
      </x:c>
      <x:c r="N33" s="58" t="str"/>
    </x:row>
    <x:row r="34">
      <x:c r="A34" s="36" t="str">
        <x:v>CC-0023</x:v>
      </x:c>
      <x:c r="B34" s="36" t="str"/>
      <x:c r="C34" s="36" t="str"/>
      <x:c r="D34" s="40" t="n">
        <x:v>45</x:v>
      </x:c>
      <x:c r="E34" s="56" t="str"/>
      <x:c r="F34" s="58" t="str"/>
      <x:c r="G34" s="58" t="str"/>
      <x:c r="H34" s="58" t="str"/>
      <x:c r="I34" s="60" t="str">
        <x:f>IF(OR(F34="",H34=""),"",H34-F34)</x:f>
      </x:c>
      <x:c r="J34" s="40" t="str">
        <x:f>IF(OR(D34="",E34=""),"",D34*E34)</x:f>
      </x:c>
      <x:c r="K34" s="42" t="n">
        <x:v>0.21</x:v>
      </x:c>
      <x:c r="L34" s="40" t="str">
        <x:f>IF(OR(J34="",K34=""),"",J34*(1+K34))</x:f>
      </x:c>
      <x:c r="M34" s="36" t="str">
        <x:v>Pending</x:v>
      </x:c>
      <x:c r="N34" s="58" t="str"/>
    </x:row>
    <x:row r="35">
      <x:c r="A35" s="36" t="str">
        <x:v>CC-0024</x:v>
      </x:c>
      <x:c r="B35" s="36" t="str"/>
      <x:c r="C35" s="36" t="str"/>
      <x:c r="D35" s="40" t="n">
        <x:v>45</x:v>
      </x:c>
      <x:c r="E35" s="56" t="str"/>
      <x:c r="F35" s="58" t="str"/>
      <x:c r="G35" s="58" t="str"/>
      <x:c r="H35" s="58" t="str"/>
      <x:c r="I35" s="60" t="str">
        <x:f>IF(OR(F35="",H35=""),"",H35-F35)</x:f>
      </x:c>
      <x:c r="J35" s="40" t="str">
        <x:f>IF(OR(D35="",E35=""),"",D35*E35)</x:f>
      </x:c>
      <x:c r="K35" s="42" t="n">
        <x:v>0.21</x:v>
      </x:c>
      <x:c r="L35" s="40" t="str">
        <x:f>IF(OR(J35="",K35=""),"",J35*(1+K35))</x:f>
      </x:c>
      <x:c r="M35" s="36" t="str">
        <x:v>Pending</x:v>
      </x:c>
      <x:c r="N35" s="58" t="str"/>
    </x:row>
    <x:row r="36">
      <x:c r="A36" s="36" t="str">
        <x:v>CC-0025</x:v>
      </x:c>
      <x:c r="B36" s="36" t="str"/>
      <x:c r="C36" s="36" t="str"/>
      <x:c r="D36" s="40" t="n">
        <x:v>45</x:v>
      </x:c>
      <x:c r="E36" s="56" t="str"/>
      <x:c r="F36" s="58" t="str"/>
      <x:c r="G36" s="58" t="str"/>
      <x:c r="H36" s="58" t="str"/>
      <x:c r="I36" s="60" t="str">
        <x:f>IF(OR(F36="",H36=""),"",H36-F36)</x:f>
      </x:c>
      <x:c r="J36" s="40" t="str">
        <x:f>IF(OR(D36="",E36=""),"",D36*E36)</x:f>
      </x:c>
      <x:c r="K36" s="42" t="n">
        <x:v>0.21</x:v>
      </x:c>
      <x:c r="L36" s="40" t="str">
        <x:f>IF(OR(J36="",K36=""),"",J36*(1+K36))</x:f>
      </x:c>
      <x:c r="M36" s="36" t="str">
        <x:v>Pending</x:v>
      </x:c>
      <x:c r="N36" s="58" t="str"/>
    </x:row>
  </x:sheetData>
  <x:mergeCells>
    <x:mergeCell ref="A1:N1"/>
    <x:mergeCell ref="A2:N2"/>
    <x:mergeCell ref="A3:N3"/>
    <x:mergeCell ref="A5:N5"/>
    <x:mergeCell ref="A10:N10"/>
  </x:mergeCells>
  <x:conditionalFormatting sqref="I7:I7">
    <x:cfRule type="expression" dxfId="24" priority="1">
      <x:formula>ISNUMBER(SEARCH("Final",I7))</x:formula>
    </x:cfRule>
    <x:cfRule type="expression" dxfId="25" priority="2">
      <x:formula>ISNUMBER(SEARCH("Working",I7))</x:formula>
    </x:cfRule>
    <x:cfRule type="expression" dxfId="26" priority="3">
      <x:formula>OR(ISNUMBER(SEARCH("TBC",I7)),ISNUMBER(SEARCH("confirm",I7)))</x:formula>
    </x:cfRule>
  </x:conditionalFormatting>
  <x:conditionalFormatting sqref="M12:M36">
    <x:cfRule type="expression" dxfId="27" priority="4">
      <x:formula>M12="Yes"</x:formula>
    </x:cfRule>
    <x:cfRule type="expression" dxfId="28" priority="5">
      <x:formula>M12="Pending"</x:formula>
    </x:cfRule>
    <x:cfRule type="expression" dxfId="29" priority="6">
      <x:formula>M12="No"</x:formula>
    </x:cfRule>
  </x:conditionalFormatting>
  <x:dataValidations count="1">
    <x:dataValidation type="list" sqref="M12:M36">
      <x:formula1>"Pending,Yes,No,Not applicable"</x:formula1>
    </x:dataValidation>
  </x:dataValidations>
  <x:pageMargins left="0.7" right="0.7" top="0.75" bottom="0.75" header="0.3" footer="0.3"/>
</x:worksheet>
</file>