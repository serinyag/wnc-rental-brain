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ventory" sheetId="1" r:id="rId4"/>
    <sheet state="visible" name="Overview" sheetId="2" r:id="rId5"/>
    <sheet state="visible" name="Controlled Lists" sheetId="3" r:id="rId6"/>
  </sheets>
  <definedNames/>
  <calcPr/>
  <extLst>
    <ext uri="GoogleSheetsCustomDataVersion2">
      <go:sheetsCustomData xmlns:go="http://customooxmlschemas.google.com/" r:id="rId7" roundtripDataChecksum="IOUtZsVAaOmSeFjQlkzHdnr1BriH2WjceP+027NNTfo="/>
    </ext>
  </extLst>
</workbook>
</file>

<file path=xl/sharedStrings.xml><?xml version="1.0" encoding="utf-8"?>
<sst xmlns="http://schemas.openxmlformats.org/spreadsheetml/2006/main" count="550" uniqueCount="260">
  <si>
    <t>Knowledge category</t>
  </si>
  <si>
    <t>Current/outdated</t>
  </si>
  <si>
    <t>Authority level</t>
  </si>
  <si>
    <t>Yes / No / Review</t>
  </si>
  <si>
    <t>00: Knowledge Governance</t>
  </si>
  <si>
    <t>Current</t>
  </si>
  <si>
    <t>authoritative</t>
  </si>
  <si>
    <t>Yes</t>
  </si>
  <si>
    <t>01: Client-Facing Documents</t>
  </si>
  <si>
    <t>Existing: review required</t>
  </si>
  <si>
    <t>guidance</t>
  </si>
  <si>
    <t>No</t>
  </si>
  <si>
    <t>02: Commercial Rules</t>
  </si>
  <si>
    <t>Current: update required</t>
  </si>
  <si>
    <t>reference_only</t>
  </si>
  <si>
    <t>Possible</t>
  </si>
  <si>
    <t>03: Venue &amp; Operations</t>
  </si>
  <si>
    <t>Current: regenerate after update</t>
  </si>
  <si>
    <t>unverified</t>
  </si>
  <si>
    <t>Review</t>
  </si>
  <si>
    <t>04: Services, Suppliers &amp; Facilitators</t>
  </si>
  <si>
    <t>To create</t>
  </si>
  <si>
    <t>05: Templates &amp; Checklists</t>
  </si>
  <si>
    <t>To create: structure decision pending</t>
  </si>
  <si>
    <t>06: Historical Cases</t>
  </si>
  <si>
    <t>To create: location decision pending</t>
  </si>
  <si>
    <t>99: Archive</t>
  </si>
  <si>
    <t>To create after source collection</t>
  </si>
  <si>
    <t>WNC Rental Knowledge Inventory</t>
  </si>
  <si>
    <t>Historical: locate and classify</t>
  </si>
  <si>
    <t>Historical: locate/collect</t>
  </si>
  <si>
    <t>Archive: locate and move</t>
  </si>
  <si>
    <t>Outdated</t>
  </si>
  <si>
    <t>Phase 2 master index: every known current source, planned controlled document, historical case file and archive category</t>
  </si>
  <si>
    <t>Archived</t>
  </si>
  <si>
    <t>Source ID</t>
  </si>
  <si>
    <t>WNC Rental Knowledge Inventory: Phase 2 Overview</t>
  </si>
  <si>
    <t>Use the Inventory sheet as the working master. Yellow Drive-link cells are still missing.</t>
  </si>
  <si>
    <t>Total indexed sources</t>
  </si>
  <si>
    <t>Missing Drive links</t>
  </si>
  <si>
    <t>Needs management confirmation</t>
  </si>
  <si>
    <t>Source count</t>
  </si>
  <si>
    <t>Action flag</t>
  </si>
  <si>
    <t>Needs cleaning</t>
  </si>
  <si>
    <t>Needs anonymisation</t>
  </si>
  <si>
    <t>Document name</t>
  </si>
  <si>
    <t>Drive link</t>
  </si>
  <si>
    <t>Contains personal data</t>
  </si>
  <si>
    <t>Subcategory</t>
  </si>
  <si>
    <t>Suggested owner</t>
  </si>
  <si>
    <t>Authoritative sources</t>
  </si>
  <si>
    <t>Applies to</t>
  </si>
  <si>
    <t>Effective date</t>
  </si>
  <si>
    <t>Last reviewed</t>
  </si>
  <si>
    <t>Next review</t>
  </si>
  <si>
    <t>Historical/reference only</t>
  </si>
  <si>
    <t>Replacement document</t>
  </si>
  <si>
    <t>Known conflict</t>
  </si>
  <si>
    <t>Notes</t>
  </si>
  <si>
    <t>GOV-001</t>
  </si>
  <si>
    <t>Master source index</t>
  </si>
  <si>
    <t>WNC Rental Knowledge Owner</t>
  </si>
  <si>
    <t>Working rules for this inventory</t>
  </si>
  <si>
    <t>1. Add one row per actual source file once located; archive bundle rows can be split into individual files.
2. Historical case documents are reference_only and excluded from authoritative rules.
3. Editable masters control their PDF exports; do not maintain independent PDF wording.
4. Blank dates mean not yet confirmed. Do not invent effective dates.
5. Role-based suggested owners must be replaced with named accountable owners during Phase 2.
6. Resolve all “Needs management confirmation = Yes” rows before Phase 2 sign-off.</t>
  </si>
  <si>
    <t>Internal knowledge governance</t>
  </si>
  <si>
    <t>Master Phase 2 index. Add Drive links and confirm named owners as files are located or created.</t>
  </si>
  <si>
    <t>GOV-002</t>
  </si>
  <si>
    <t>WNC Rental Policy Decisions &amp; Change Log</t>
  </si>
  <si>
    <t>https://docs.google.com/spreadsheets/d/1YbviNS6FtbyST9Uu5ZMux3HbSbBB8N31/edit?usp=sharing&amp;ouid=104209443610526704498&amp;rtpof=true&amp;sd=true</t>
  </si>
  <si>
    <t>Policy governance</t>
  </si>
  <si>
    <t>WNC Rental Knowledge Owner + General Manager</t>
  </si>
  <si>
    <t>All rentals / internal governance</t>
  </si>
  <si>
    <t>Record canonical decisions, effective dates, approver, affected documents and implementation status.</t>
  </si>
  <si>
    <t>GOV-003</t>
  </si>
  <si>
    <t>WNC Rental Data Dictionary</t>
  </si>
  <si>
    <t>https://docs.google.com/spreadsheets/d/1nZm0TZ3O2OepbvRu6woIFDde_euTwdR-/edit?usp=sharing&amp;ouid=104209443610526704498&amp;rtpof=true&amp;sd=true</t>
  </si>
  <si>
    <t>Terminology and definitions</t>
  </si>
  <si>
    <t>All rental knowledge and systems</t>
  </si>
  <si>
    <t>May contain Phase 1 terminology that no longer matches canonical room names or Phase 2 document structure.</t>
  </si>
  <si>
    <t>Existing Phase 1 source. Confirm current location, completeness and controlled owner.</t>
  </si>
  <si>
    <t>GOV-004</t>
  </si>
  <si>
    <t xml:space="preserve">WNC Rental Informal Rules </t>
  </si>
  <si>
    <t>https://docs.google.com/spreadsheets/d/1m6aqXfgJ4-OJXx1Xli9u0dmRWjVkor_W/edit?usp=sharing&amp;ouid=104209443610526704498&amp;rtpof=true&amp;sd=true</t>
  </si>
  <si>
    <t>Unverified informal knowledge</t>
  </si>
  <si>
    <t>WNC Rental Point of Contact + General Manager</t>
  </si>
  <si>
    <t>Internal rental decisions</t>
  </si>
  <si>
    <t>Informal practices may conflict with canonical pricing, surcharge, staffing, insurance and production rules.</t>
  </si>
  <si>
    <t>Capture waiver practices, custom deposits, host requirements, insurance, cleaning, preferred suppliers, venue-clearing lead time, site-visit rules, unsuitable events, installation approvals, service definitions, 14-day final information and last-minute changes.</t>
  </si>
  <si>
    <t>CF-001</t>
  </si>
  <si>
    <t>Updated Rental Lookbook 2026: editable master</t>
  </si>
  <si>
    <t>https://canva.link/pjkcupy5rtmrs33</t>
  </si>
  <si>
    <t>Lookbook / editable source</t>
  </si>
  <si>
    <t>WNC Rental Point of Contact + Marketing/Brand</t>
  </si>
  <si>
    <t>Prospective rental clients / all rental types</t>
  </si>
  <si>
    <t>Must be reconciled with final canonical booking, payment, fee, capacity, equipment, room-name and Storefront wording decisions.</t>
  </si>
  <si>
    <t>Controlled source for the exported PDF. Keep client-facing wording concise.</t>
  </si>
  <si>
    <t>CF-002</t>
  </si>
  <si>
    <t>Updated Rental Lookbook 2026: PDF</t>
  </si>
  <si>
    <t>https://drive.google.com/file/d/1qHlc2hX2yqOFcDfZpeRna_Cvr_R_Cp41/view?usp=drive_link</t>
  </si>
  <si>
    <t>Lookbook / client-facing export</t>
  </si>
  <si>
    <t>Generated from Updated Rental Lookbook 2026: editable master</t>
  </si>
  <si>
    <t>Current export may not reflect the final canonical decisions.</t>
  </si>
  <si>
    <t>Do not edit independently; regenerate from the approved editable master.</t>
  </si>
  <si>
    <t>CF-003</t>
  </si>
  <si>
    <t>Studio Rental Terms: editable master</t>
  </si>
  <si>
    <t>https://docs.google.com/document/d/10mtB0nR6Yg2Gw1EzEEyWrVEjHrZm7cYP-pXq66XHq-M/edit?usp=drive_link</t>
  </si>
  <si>
    <t>Terms and conditions / editable source</t>
  </si>
  <si>
    <t>Studio-space rentals</t>
  </si>
  <si>
    <t>Existing wording must be updated for deposit-based confirmation, payment timing, booking fees, expedited surcharge, cancellations, grace period, overtime and class-cancellation fees.</t>
  </si>
  <si>
    <t>Controlled source for the PDF. Legal review may be considered before final approval.</t>
  </si>
  <si>
    <t>CF-004</t>
  </si>
  <si>
    <t>Studio Rental Terms: PDF</t>
  </si>
  <si>
    <t>https://drive.google.com/file/d/1SPoDe9epCyU2aDMvOjcFVlWZM4XhK1kG/view?usp=sharing</t>
  </si>
  <si>
    <t>Terms and conditions / client-facing export</t>
  </si>
  <si>
    <t>Generated from Studio Rental Terms: editable master</t>
  </si>
  <si>
    <t>Current export may preserve outdated terms.</t>
  </si>
  <si>
    <t>Do not edit independently; regenerate from approved editable master.</t>
  </si>
  <si>
    <t>CF-005</t>
  </si>
  <si>
    <t>Full Venue Rental Terms: editable master</t>
  </si>
  <si>
    <t>https://docs.google.com/document/d/1-uygwo01434Q1JPkw78u_HL1zNyJNPLfr1UHLy42NQM/edit?usp=drive_link</t>
  </si>
  <si>
    <t>Entire-venue rentals</t>
  </si>
  <si>
    <t>Existing wording must be updated for confirmation, payment timing, booking fees, expedited surcharge, cancellations, deposits, overtime, clearing, staffing and supplier obligations.</t>
  </si>
  <si>
    <t>CF-006</t>
  </si>
  <si>
    <t>Full Venue Rental Terms: PDF</t>
  </si>
  <si>
    <t>https://drive.google.com/file/d/1aBsRfpNM6xXbxBgoDk9YuGVzL8bFuwby/view?usp=drive_link</t>
  </si>
  <si>
    <t>Generated from Full Venue Rental Terms: editable master</t>
  </si>
  <si>
    <t>CF-007</t>
  </si>
  <si>
    <t>WNC Rental Agreement Template: editable master</t>
  </si>
  <si>
    <t>https://docs.google.com/document/d/1mD97a2P1OIaEDLuS7ECZoKfpcJOzu4N8/edit?usp=sharing&amp;ouid=104209443610526704498&amp;rtpof=true&amp;sd=true</t>
  </si>
  <si>
    <t>Universal rental agreement</t>
  </si>
  <si>
    <t>All confirmed rentals</t>
  </si>
  <si>
    <t>No controlled universal current template exists; historical agreements contain case-specific and outdated variations.</t>
  </si>
  <si>
    <t>One final agreement follows once scope, timings, fees and responsibilities are finalised; the deposit initially secures the date.</t>
  </si>
  <si>
    <t>COM-001</t>
  </si>
  <si>
    <t>WNC Rental Pricing, Fees &amp; Payment Rules</t>
  </si>
  <si>
    <t>https://docs.google.com/spreadsheets/d/1oYG_vKF4sBTjn3zPbaBprIwBTndHCXRj/edit?usp=sharing&amp;ouid=104209443610526704498&amp;rtpof=true&amp;sd=true</t>
  </si>
  <si>
    <t>Commercial master workbook</t>
  </si>
  <si>
    <t>WNC Rental Point of Contact + Finance</t>
  </si>
  <si>
    <t>All rental proposals, terms, agreements and invoices</t>
  </si>
  <si>
    <t>Current rules are distributed across lookbooks, terms, proposals, emails and informal knowledge.</t>
  </si>
  <si>
    <t>Single source with tabs for venue pricing, booking fees, expedited surcharge, security deposits, overtime, payment, cancellation/refunds, VAT and class-cancellation charges. Full-production pricing remains TBC/manual quote.</t>
  </si>
  <si>
    <t>OPS-001</t>
  </si>
  <si>
    <t>WNC Venue Rental Operations Manual</t>
  </si>
  <si>
    <t>https://docs.google.com/document/d/1lmrrd06YWbkMEk9RvsbNyB99ukSUb3au/edit?usp=sharing&amp;ouid=104209443610526704498&amp;rtpof=true&amp;sd=true</t>
  </si>
  <si>
    <t>Internal operations manual</t>
  </si>
  <si>
    <t>Operations / General Manager</t>
  </si>
  <si>
    <t>All rental operations and handovers</t>
  </si>
  <si>
    <t>Operational rules are currently dispersed and some room names are superseded.</t>
  </si>
  <si>
    <t>Include rental types, spaces, restrictions, access, clearing, storage, build-up/breakdown, deliveries, visits, installations, cleaning, waste, damage and incidents.</t>
  </si>
  <si>
    <t>OPS-002</t>
  </si>
  <si>
    <t>WNC Venue Technical &amp; Equipment Inventory</t>
  </si>
  <si>
    <t>https://docs.google.com/spreadsheets/d/16EwgMtm4zc2pRSXXNlip38zjbef9s6Ec/edit?usp=sharing&amp;ouid=104209443610526704498&amp;rtpof=true&amp;sd=true</t>
  </si>
  <si>
    <t>Technical and equipment inventory</t>
  </si>
  <si>
    <t>Operations / Facilities</t>
  </si>
  <si>
    <t>Rental feasibility, proposals, site visits and handovers</t>
  </si>
  <si>
    <t>Exact technical capabilities and some live equipment quantities are not yet confirmed.</t>
  </si>
  <si>
    <t>Cover spaces, equipment, power, sound, display/projector, microphones, lighting, filming, Wi-Fi, kitchen/bar equipment and installation limitations.</t>
  </si>
  <si>
    <t>OPS-003</t>
  </si>
  <si>
    <t>WNC Capacity &amp; Space Use Rules</t>
  </si>
  <si>
    <t>In WNC Venue Technical &amp; Equipment Inventory</t>
  </si>
  <si>
    <t>Capacity and room-use rules</t>
  </si>
  <si>
    <t>All rental types and venue safety</t>
  </si>
  <si>
    <t>Risk of duplicating capacity rules if maintained separately from the technical inventory and operations manual.</t>
  </si>
  <si>
    <t>Decide whether this remains a separate controlled sheet or a tab in the Technical &amp; Equipment Inventory. Canonical capacities are already defined.</t>
  </si>
  <si>
    <t>SERV-001</t>
  </si>
  <si>
    <t>WNC Rental Services Catalogue</t>
  </si>
  <si>
    <t>https://docs.google.com/spreadsheets/d/1LJ-s9VXR45aA-VJ2sh7nofQnNs4koqIP/edit?usp=sharing&amp;ouid=104209443610526704498&amp;rtpof=true&amp;sd=true</t>
  </si>
  <si>
    <t>Rental services catalogue</t>
  </si>
  <si>
    <t>WNC Rental Point of Contact + Operations</t>
  </si>
  <si>
    <t>Proposal scoping and internal service definitions</t>
  </si>
  <si>
    <t>Meaning and inclusions of light support, event management, production coordination and full production need controlled definitions.</t>
  </si>
  <si>
    <t>Include venue only, supported rental, production coordination, full production, hosts, event management, sourcing, setup/reset, cleaning, beverage and technical coordination.</t>
  </si>
  <si>
    <t>SERV-002</t>
  </si>
  <si>
    <t>WNC Facilitators &amp; Rental Experiences</t>
  </si>
  <si>
    <t>TBC</t>
  </si>
  <si>
    <t>Facilitator and experience catalogue</t>
  </si>
  <si>
    <t>WNC Rental Point of Contact</t>
  </si>
  <si>
    <t>Private rental experiences and facilitator sourcing</t>
  </si>
  <si>
    <t>Fees, availability, cancellation terms and active status may change and require named ownership and review cadence.</t>
  </si>
  <si>
    <t>Contains facilitator contacts; restrict access appropriately. Include experience, duration, capacity, fee, equipment, availability, status and private-rental suitability.</t>
  </si>
  <si>
    <t>SERV-003</t>
  </si>
  <si>
    <t>WNC Catering, Beverage &amp; Supplier Catalogue</t>
  </si>
  <si>
    <t>https://docs.google.com/spreadsheets/d/1NbH8K2NFsaakOwicezItFib6_4Momy80/edit?usp=sharing&amp;ouid=104209443610526704498&amp;rtpof=true&amp;sd=true</t>
  </si>
  <si>
    <t>Supplier and catering catalogue</t>
  </si>
  <si>
    <t>Catering, beverage, furniture, production and supplier sourcing</t>
  </si>
  <si>
    <t>Supplier prices, lead times, contacts and VAT treatment may be outdated or case-specific.</t>
  </si>
  <si>
    <t>Include supplier contact, service/product, price, VAT, minimum order, lead time, dietary options, delivery, cleaning and preferred/client-arranged status.</t>
  </si>
  <si>
    <t>SERV-004</t>
  </si>
  <si>
    <t>External Supplier Requirements</t>
  </si>
  <si>
    <t>Tab in WNC Catering, Beverage &amp; Supplier Catalogue</t>
  </si>
  <si>
    <t>External supplier operating requirements</t>
  </si>
  <si>
    <t>Client-arranged and WNC-arranged external suppliers</t>
  </si>
  <si>
    <t>Risk of duplicate rules if maintained separately from the Operations Manual or Supplier Catalogue.</t>
  </si>
  <si>
    <t>Decide whether this is a separate document, a controlled manual section or a supplier-catalogue tab.</t>
  </si>
  <si>
    <t>TPL-001</t>
  </si>
  <si>
    <t>Studio Rental Proposal Template</t>
  </si>
  <si>
    <t>https://docs.google.com/document/d/13bU2BRJ-3rLWAyCDCNIKXUPO63v_gyWTaaW3dAvjdxQ/edit?usp=sharing</t>
  </si>
  <si>
    <t>Proposal template</t>
  </si>
  <si>
    <t>Studio rentals</t>
  </si>
  <si>
    <t>Current pricing and terms must be pulled from controlled masters; historical proposals must not be copied as rules.</t>
  </si>
  <si>
    <t>Phase 2 human-owned source version; later system outputs should inherit from this controlled template.</t>
  </si>
  <si>
    <t>TPL-002</t>
  </si>
  <si>
    <t>Entire Venue Proposal Template</t>
  </si>
  <si>
    <t>https://docs.google.com/document/d/1Oc7ABNOVq0rUdItkwOgdVywOJxySQGUxMyBbqNWBqS4/edit?usp=sharing</t>
  </si>
  <si>
    <t>TPL-003</t>
  </si>
  <si>
    <t>Custom Scope Proposal Template</t>
  </si>
  <si>
    <t>https://docs.google.com/document/d/1HKkl_lJHl1Cb153H7XsdJAKi-hA6hcWfOAhBDMax00s/edit?usp=sharing</t>
  </si>
  <si>
    <t>1:1 / Podcast Room and unusual/custom rentals</t>
  </si>
  <si>
    <t>Custom scope requires explicit inclusions, exclusions, approval and manual pricing where no rule exists.</t>
  </si>
  <si>
    <t>TPL-004</t>
  </si>
  <si>
    <t>Production Coordination Proposal Template</t>
  </si>
  <si>
    <t>https://docs.google.com/document/d/1NOdYDMoZq7YHHuXvdF7aHkXc69kEQR-gASo1aZTOLvI/edit?usp=sharing</t>
  </si>
  <si>
    <t>Production-coordination rentals</t>
  </si>
  <si>
    <t>Must distinguish logistics-focused coordination from full production.</t>
  </si>
  <si>
    <t>TPL-005</t>
  </si>
  <si>
    <t>Full Production Proposal Template</t>
  </si>
  <si>
    <t>https://docs.google.com/document/d/1I4-bsvJXQmIyfcznO6BIg7SD2fQ-_oqQIRTxEEOz9tM/edit?usp=sharing</t>
  </si>
  <si>
    <t>Full-production rentals</t>
  </si>
  <si>
    <t>Full-production pricing is TBC/manual quote and must not use a deterministic rule.</t>
  </si>
  <si>
    <t>TPL-006</t>
  </si>
  <si>
    <t>WNC Rental Email Template Library</t>
  </si>
  <si>
    <t>https://docs.google.com/document/d/195Ryp5MOCN86GMwScn47zfkXn_J-85_EqRNXjfOuog8/edit?usp=sharing</t>
  </si>
  <si>
    <t>Communication templates</t>
  </si>
  <si>
    <t>Rental inquiries and active bookings</t>
  </si>
  <si>
    <t>May contain copied personal/client information if built from historical emails; source examples must be anonymised.</t>
  </si>
  <si>
    <t>TPL-007</t>
  </si>
  <si>
    <t>Discovery Call Checklist: combined</t>
  </si>
  <si>
    <t>https://docs.google.com/document/d/1s0rFnWXPytxl2nsb4da9zbiGyvs2y8qAgMU8XVfCHaU/edit?usp=sharing</t>
  </si>
  <si>
    <t>Checklist</t>
  </si>
  <si>
    <t>Qualifying rental inquiries</t>
  </si>
  <si>
    <t>Must define when a discovery call is sufficient and what information is required.</t>
  </si>
  <si>
    <t>TPL-008</t>
  </si>
  <si>
    <t>Site Visit Checklist: combines</t>
  </si>
  <si>
    <t>combined above</t>
  </si>
  <si>
    <t>Venue visits and feasibility checks</t>
  </si>
  <si>
    <t>Must define when a site visit is required and capture installation/technical risks.</t>
  </si>
  <si>
    <t>TPL-009</t>
  </si>
  <si>
    <t>Event Handover Checklist</t>
  </si>
  <si>
    <t>https://docs.google.com/document/d/1WXP09xT9g96pj79PMRRa9VniluV-HgF3p2zziVLfxdI/edit?usp=sharing</t>
  </si>
  <si>
    <t>Confirmed rentals transitioning to delivery</t>
  </si>
  <si>
    <t>Must prevent loss of agreed scope, client responsibilities, supplier access and timing details.</t>
  </si>
  <si>
    <t>TPL-010</t>
  </si>
  <si>
    <t>Final Readiness Checklist</t>
  </si>
  <si>
    <t>Combined above</t>
  </si>
  <si>
    <t>Operations / Event Lead</t>
  </si>
  <si>
    <t>Pre-event operational readiness</t>
  </si>
  <si>
    <t>Must include final information due 14 days before the event and last-minute change handling.</t>
  </si>
  <si>
    <t>TPL-013</t>
  </si>
  <si>
    <t>Rental Close-Out Checklist</t>
  </si>
  <si>
    <t>https://docs.google.com/document/d/1Fnr96opQWbf-K07WV5EvLLDXlTAGbWiaRbP7Xd4WxC4/edit?usp=sharing</t>
  </si>
  <si>
    <t>Financial and operational close-out</t>
  </si>
  <si>
    <t>Must reconcile outstanding charges, deposit return/deductions, supplier costs and record completeness.</t>
  </si>
  <si>
    <t>HC-AMO-000</t>
  </si>
  <si>
    <t>Historical Case Library</t>
  </si>
  <si>
    <t>https://docs.google.com/document/d/1i3Beg5ELuwBz7tMfoQT4L14asp_Vg_7OcJ41BZ25LVA/edit?usp=sharing</t>
  </si>
  <si>
    <t>Existing historical source bundle</t>
  </si>
  <si>
    <t>Historical reference only</t>
  </si>
  <si>
    <t>N/A: historical reference</t>
  </si>
  <si>
    <t>Contains historical variations in rental contexts, must not be treated as current rental rules.</t>
  </si>
  <si>
    <t>retrieval_status = excluded_from_authoritative_rules. Useful learning: PR wellness activation; multiple sessions; host support; facilitator cancellation fees; beverage boundaries; room/storage allocation.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</si>
</sst>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2">
    <font>
      <sz val="11.0"/>
      <color rgb="FF000000"/>
      <name val="Carlito"/>
      <scheme val="minor"/>
    </font>
    <font>
      <b/>
      <sz val="10.0"/>
      <color rgb="FFFFFFFF"/>
      <name val="Carlito"/>
    </font>
    <font>
      <sz val="11.0"/>
      <color theme="1"/>
      <name val="Carlito"/>
    </font>
    <font>
      <b/>
      <sz val="18.0"/>
      <color rgb="FFFFFFFF"/>
      <name val="Carlito"/>
    </font>
    <font>
      <i/>
      <sz val="10.0"/>
      <color rgb="FF143D3A"/>
      <name val="Carlito"/>
    </font>
    <font>
      <b/>
      <sz val="11.0"/>
      <color rgb="FF143D3A"/>
      <name val="Carlito"/>
    </font>
    <font>
      <b/>
      <sz val="20.0"/>
      <color rgb="FF143D3A"/>
      <name val="Carlito"/>
    </font>
    <font/>
    <font>
      <sz val="11.0"/>
      <color rgb="FF143D3A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434343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F5B56"/>
        <bgColor rgb="FF1F5B56"/>
      </patternFill>
    </fill>
    <fill>
      <patternFill patternType="solid">
        <fgColor rgb="FF143D3A"/>
        <bgColor rgb="FF143D3A"/>
      </patternFill>
    </fill>
    <fill>
      <patternFill patternType="solid">
        <fgColor rgb="FFDCEBE7"/>
        <bgColor rgb="FFDCEBE7"/>
      </patternFill>
    </fill>
    <fill>
      <patternFill patternType="solid">
        <fgColor rgb="FFF7FBFA"/>
        <bgColor rgb="FFF7FBFA"/>
      </patternFill>
    </fill>
  </fills>
  <borders count="9">
    <border/>
    <border>
      <left style="thin">
        <color rgb="FFA7C7C3"/>
      </left>
      <top style="thin">
        <color rgb="FFA7C7C3"/>
      </top>
    </border>
    <border>
      <right style="thin">
        <color rgb="FFA7C7C3"/>
      </right>
      <top style="thin">
        <color rgb="FFA7C7C3"/>
      </top>
    </border>
    <border>
      <left style="thin">
        <color rgb="FFA7C7C3"/>
      </left>
      <bottom style="thin">
        <color rgb="FFA7C7C3"/>
      </bottom>
    </border>
    <border>
      <right style="thin">
        <color rgb="FFA7C7C3"/>
      </right>
      <bottom style="thin">
        <color rgb="FFA7C7C3"/>
      </bottom>
    </border>
    <border>
      <top style="thin">
        <color rgb="FFA7C7C3"/>
      </top>
    </border>
    <border>
      <left style="thin">
        <color rgb="FFA7C7C3"/>
      </left>
    </border>
    <border>
      <right style="thin">
        <color rgb="FFA7C7C3"/>
      </right>
    </border>
    <border>
      <bottom style="thin">
        <color rgb="FFA7C7C3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readingOrder="0" shrinkToFit="0" wrapText="1"/>
    </xf>
    <xf borderId="0" fillId="0" fontId="2" numFmtId="0" xfId="0" applyAlignment="1" applyFont="1">
      <alignment shrinkToFit="0" wrapText="1"/>
    </xf>
    <xf borderId="0" fillId="3" fontId="3" numFmtId="0" xfId="0" applyAlignment="1" applyFill="1" applyFont="1">
      <alignment horizontal="left" vertical="center"/>
    </xf>
    <xf borderId="0" fillId="4" fontId="4" numFmtId="0" xfId="0" applyAlignment="1" applyFill="1" applyFont="1">
      <alignment horizontal="left" readingOrder="0" vertical="center"/>
    </xf>
    <xf borderId="0" fillId="3" fontId="3" numFmtId="0" xfId="0" applyAlignment="1" applyFont="1">
      <alignment horizontal="left" readingOrder="0" vertical="center"/>
    </xf>
    <xf borderId="0" fillId="4" fontId="4" numFmtId="0" xfId="0" applyAlignment="1" applyFont="1">
      <alignment horizontal="left" vertical="center"/>
    </xf>
    <xf borderId="0" fillId="4" fontId="5" numFmtId="0" xfId="0" applyAlignment="1" applyFont="1">
      <alignment horizontal="center" vertical="center"/>
    </xf>
    <xf borderId="1" fillId="5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4" fillId="0" fontId="7" numFmtId="0" xfId="0" applyBorder="1" applyFont="1"/>
    <xf borderId="0" fillId="2" fontId="1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readingOrder="0" shrinkToFit="0" vertical="top" wrapText="1"/>
    </xf>
    <xf borderId="1" fillId="5" fontId="8" numFmtId="0" xfId="0" applyAlignment="1" applyBorder="1" applyFont="1">
      <alignment shrinkToFit="0" vertical="top" wrapText="1"/>
    </xf>
    <xf borderId="5" fillId="0" fontId="7" numFmtId="0" xfId="0" applyBorder="1" applyFont="1"/>
    <xf borderId="6" fillId="0" fontId="7" numFmtId="0" xfId="0" applyBorder="1" applyFont="1"/>
    <xf borderId="7" fillId="0" fontId="7" numFmtId="0" xfId="0" applyBorder="1" applyFont="1"/>
    <xf borderId="8" fillId="0" fontId="7" numFmtId="0" xfId="0" applyBorder="1" applyFont="1"/>
    <xf borderId="0" fillId="0" fontId="2" numFmtId="164" xfId="0" applyAlignment="1" applyFont="1" applyNumberFormat="1">
      <alignment shrinkToFit="0" vertical="top" wrapText="1"/>
    </xf>
    <xf borderId="0" fillId="0" fontId="9" numFmtId="0" xfId="0" applyAlignment="1" applyFont="1">
      <alignment readingOrder="0"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11" numFmtId="0" xfId="0" applyAlignment="1" applyFont="1">
      <alignment readingOrder="0" shrinkToFit="0" vertical="top" wrapText="1"/>
    </xf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color rgb="FF7F6000"/>
      </font>
      <fill>
        <patternFill patternType="solid">
          <fgColor rgb="FFFFF2CC"/>
          <bgColor rgb="FFFFF2CC"/>
        </patternFill>
      </fill>
      <border/>
    </dxf>
    <dxf>
      <font>
        <color rgb="FF4A148C"/>
      </font>
      <fill>
        <patternFill patternType="solid">
          <fgColor rgb="FFEDE7F6"/>
          <bgColor rgb="FFEDE7F6"/>
        </patternFill>
      </fill>
      <border/>
    </dxf>
    <dxf>
      <font>
        <color rgb="FF595959"/>
      </font>
      <fill>
        <patternFill patternType="solid">
          <fgColor rgb="FFE7E6E6"/>
          <bgColor rgb="FFE7E6E6"/>
        </patternFill>
      </fill>
      <border/>
    </dxf>
    <dxf>
      <font>
        <color rgb="FF9C0006"/>
      </font>
      <fill>
        <patternFill patternType="solid">
          <fgColor rgb="FFFCE4D6"/>
          <bgColor rgb="FFFCE4D6"/>
        </patternFill>
      </fill>
      <border/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color rgb="FF783F04"/>
      </font>
      <fill>
        <patternFill patternType="solid">
          <fgColor rgb="FFFCE5CD"/>
          <bgColor rgb="FFFCE5CD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</dxfs>
  <tableStyles count="1">
    <tableStyle count="4" pivot="0" name="Inventory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Indexed sources by knowledge category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Source count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Overview!$A$10:$A$17</c:f>
            </c:strRef>
          </c:cat>
          <c:val>
            <c:numRef>
              <c:f>Overview!$B$10:$B$17</c:f>
              <c:numCache/>
            </c:numRef>
          </c:val>
        </c:ser>
        <c:axId val="720567465"/>
        <c:axId val="669577971"/>
      </c:barChart>
      <c:catAx>
        <c:axId val="7205674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69577971"/>
      </c:catAx>
      <c:valAx>
        <c:axId val="6695779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20567465"/>
      </c:valAx>
    </c:plotArea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2</xdr:row>
      <xdr:rowOff>0</xdr:rowOff>
    </xdr:from>
    <xdr:ext cx="5257800" cy="3200400"/>
    <xdr:graphicFrame>
      <xdr:nvGraphicFramePr>
        <xdr:cNvPr id="183442477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S34" displayName="RentalKnowledgeInventory" name="RentalKnowledgeInventory" id="1">
  <tableColumns count="19">
    <tableColumn name="Source ID" id="1"/>
    <tableColumn name="Document name" id="2"/>
    <tableColumn name="Drive link" id="3"/>
    <tableColumn name="Knowledge category" id="4"/>
    <tableColumn name="Subcategory" id="5"/>
    <tableColumn name="Suggested owner" id="6"/>
    <tableColumn name="Current/outdated" id="7"/>
    <tableColumn name="Authority level" id="8"/>
    <tableColumn name="Applies to" id="9"/>
    <tableColumn name="Effective date" id="10"/>
    <tableColumn name="Last reviewed" id="11"/>
    <tableColumn name="Next review" id="12"/>
    <tableColumn name="Replacement document" id="13"/>
    <tableColumn name="Contains personal data" id="14"/>
    <tableColumn name="Needs anonymisation" id="15"/>
    <tableColumn name="Needs cleaning" id="16"/>
    <tableColumn name="Needs management confirmation" id="17"/>
    <tableColumn name="Known conflict" id="18"/>
    <tableColumn name="Notes" id="19"/>
  </tableColumns>
  <tableStyleInfo name="Inventory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20" Type="http://schemas.openxmlformats.org/officeDocument/2006/relationships/hyperlink" Target="https://docs.google.com/document/d/1I4-bsvJXQmIyfcznO6BIg7SD2fQ-_oqQIRTxEEOz9tM/edit?usp=sharing" TargetMode="External"/><Relationship Id="rId22" Type="http://schemas.openxmlformats.org/officeDocument/2006/relationships/hyperlink" Target="https://docs.google.com/document/d/1s0rFnWXPytxl2nsb4da9zbiGyvs2y8qAgMU8XVfCHaU/edit?usp=sharing" TargetMode="External"/><Relationship Id="rId21" Type="http://schemas.openxmlformats.org/officeDocument/2006/relationships/hyperlink" Target="https://docs.google.com/document/d/195Ryp5MOCN86GMwScn47zfkXn_J-85_EqRNXjfOuog8/edit?usp=sharing" TargetMode="External"/><Relationship Id="rId24" Type="http://schemas.openxmlformats.org/officeDocument/2006/relationships/hyperlink" Target="https://docs.google.com/document/d/1Fnr96opQWbf-K07WV5EvLLDXlTAGbWiaRbP7Xd4WxC4/edit?usp=sharing" TargetMode="External"/><Relationship Id="rId23" Type="http://schemas.openxmlformats.org/officeDocument/2006/relationships/hyperlink" Target="https://docs.google.com/document/d/1WXP09xT9g96pj79PMRRa9VniluV-HgF3p2zziVLfxdI/edit?usp=sharing" TargetMode="External"/><Relationship Id="rId1" Type="http://schemas.openxmlformats.org/officeDocument/2006/relationships/hyperlink" Target="https://docs.google.com/spreadsheets/d/1YbviNS6FtbyST9Uu5ZMux3HbSbBB8N31/edit?usp=sharing&amp;ouid=104209443610526704498&amp;rtpof=true&amp;sd=true" TargetMode="External"/><Relationship Id="rId2" Type="http://schemas.openxmlformats.org/officeDocument/2006/relationships/hyperlink" Target="https://docs.google.com/spreadsheets/d/1nZm0TZ3O2OepbvRu6woIFDde_euTwdR-/edit?usp=sharing&amp;ouid=104209443610526704498&amp;rtpof=true&amp;sd=true" TargetMode="External"/><Relationship Id="rId3" Type="http://schemas.openxmlformats.org/officeDocument/2006/relationships/hyperlink" Target="https://docs.google.com/spreadsheets/d/1m6aqXfgJ4-OJXx1Xli9u0dmRWjVkor_W/edit?usp=sharing&amp;ouid=104209443610526704498&amp;rtpof=true&amp;sd=true" TargetMode="External"/><Relationship Id="rId4" Type="http://schemas.openxmlformats.org/officeDocument/2006/relationships/hyperlink" Target="https://canva.link/pjkcupy5rtmrs33" TargetMode="External"/><Relationship Id="rId9" Type="http://schemas.openxmlformats.org/officeDocument/2006/relationships/hyperlink" Target="https://drive.google.com/file/d/1aBsRfpNM6xXbxBgoDk9YuGVzL8bFuwby/view?usp=drive_link" TargetMode="External"/><Relationship Id="rId26" Type="http://schemas.openxmlformats.org/officeDocument/2006/relationships/drawing" Target="../drawings/drawing1.xml"/><Relationship Id="rId25" Type="http://schemas.openxmlformats.org/officeDocument/2006/relationships/hyperlink" Target="https://docs.google.com/document/d/1i3Beg5ELuwBz7tMfoQT4L14asp_Vg_7OcJ41BZ25LVA/edit?usp=sharing" TargetMode="External"/><Relationship Id="rId28" Type="http://schemas.openxmlformats.org/officeDocument/2006/relationships/table" Target="../tables/table1.xml"/><Relationship Id="rId5" Type="http://schemas.openxmlformats.org/officeDocument/2006/relationships/hyperlink" Target="https://drive.google.com/file/d/1qHlc2hX2yqOFcDfZpeRna_Cvr_R_Cp41/view?usp=drive_link" TargetMode="External"/><Relationship Id="rId6" Type="http://schemas.openxmlformats.org/officeDocument/2006/relationships/hyperlink" Target="https://docs.google.com/document/d/10mtB0nR6Yg2Gw1EzEEyWrVEjHrZm7cYP-pXq66XHq-M/edit?usp=drive_link" TargetMode="External"/><Relationship Id="rId7" Type="http://schemas.openxmlformats.org/officeDocument/2006/relationships/hyperlink" Target="https://drive.google.com/file/d/1SPoDe9epCyU2aDMvOjcFVlWZM4XhK1kG/view?usp=sharing" TargetMode="External"/><Relationship Id="rId8" Type="http://schemas.openxmlformats.org/officeDocument/2006/relationships/hyperlink" Target="https://docs.google.com/document/d/1-uygwo01434Q1JPkw78u_HL1zNyJNPLfr1UHLy42NQM/edit?usp=drive_link" TargetMode="External"/><Relationship Id="rId11" Type="http://schemas.openxmlformats.org/officeDocument/2006/relationships/hyperlink" Target="https://docs.google.com/spreadsheets/d/1oYG_vKF4sBTjn3zPbaBprIwBTndHCXRj/edit?usp=sharing&amp;ouid=104209443610526704498&amp;rtpof=true&amp;sd=true" TargetMode="External"/><Relationship Id="rId10" Type="http://schemas.openxmlformats.org/officeDocument/2006/relationships/hyperlink" Target="https://docs.google.com/document/d/1mD97a2P1OIaEDLuS7ECZoKfpcJOzu4N8/edit?usp=sharing&amp;ouid=104209443610526704498&amp;rtpof=true&amp;sd=true" TargetMode="External"/><Relationship Id="rId13" Type="http://schemas.openxmlformats.org/officeDocument/2006/relationships/hyperlink" Target="https://docs.google.com/spreadsheets/d/16EwgMtm4zc2pRSXXNlip38zjbef9s6Ec/edit?usp=sharing&amp;ouid=104209443610526704498&amp;rtpof=true&amp;sd=true" TargetMode="External"/><Relationship Id="rId12" Type="http://schemas.openxmlformats.org/officeDocument/2006/relationships/hyperlink" Target="https://docs.google.com/document/d/1lmrrd06YWbkMEk9RvsbNyB99ukSUb3au/edit?usp=sharing&amp;ouid=104209443610526704498&amp;rtpof=true&amp;sd=true" TargetMode="External"/><Relationship Id="rId15" Type="http://schemas.openxmlformats.org/officeDocument/2006/relationships/hyperlink" Target="https://docs.google.com/spreadsheets/d/1NbH8K2NFsaakOwicezItFib6_4Momy80/edit?usp=sharing&amp;ouid=104209443610526704498&amp;rtpof=true&amp;sd=true" TargetMode="External"/><Relationship Id="rId14" Type="http://schemas.openxmlformats.org/officeDocument/2006/relationships/hyperlink" Target="https://docs.google.com/spreadsheets/d/1LJ-s9VXR45aA-VJ2sh7nofQnNs4koqIP/edit?usp=sharing&amp;ouid=104209443610526704498&amp;rtpof=true&amp;sd=true" TargetMode="External"/><Relationship Id="rId17" Type="http://schemas.openxmlformats.org/officeDocument/2006/relationships/hyperlink" Target="https://docs.google.com/document/d/1Oc7ABNOVq0rUdItkwOgdVywOJxySQGUxMyBbqNWBqS4/edit?usp=sharing" TargetMode="External"/><Relationship Id="rId16" Type="http://schemas.openxmlformats.org/officeDocument/2006/relationships/hyperlink" Target="https://docs.google.com/document/d/13bU2BRJ-3rLWAyCDCNIKXUPO63v_gyWTaaW3dAvjdxQ/edit?usp=sharing" TargetMode="External"/><Relationship Id="rId19" Type="http://schemas.openxmlformats.org/officeDocument/2006/relationships/hyperlink" Target="https://docs.google.com/document/d/1NOdYDMoZq7YHHuXvdF7aHkXc69kEQR-gASo1aZTOLvI/edit?usp=sharing" TargetMode="External"/><Relationship Id="rId18" Type="http://schemas.openxmlformats.org/officeDocument/2006/relationships/hyperlink" Target="https://docs.google.com/document/d/1HKkl_lJHl1Cb153H7XsdJAKi-hA6hcWfOAhBDMax00s/edit?usp=sharin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38.0"/>
    <col customWidth="1" min="3" max="3" width="26.0"/>
    <col customWidth="1" min="4" max="4" width="30.0"/>
    <col customWidth="1" min="5" max="6" width="28.0"/>
    <col customWidth="1" min="7" max="7" width="26.0"/>
    <col customWidth="1" min="8" max="8" width="18.0"/>
    <col customWidth="1" min="9" max="9" width="28.0"/>
    <col customWidth="1" min="10" max="12" width="14.0"/>
    <col customWidth="1" min="13" max="13" width="34.0"/>
    <col customWidth="1" min="14" max="15" width="18.0"/>
    <col customWidth="1" min="16" max="16" width="15.0"/>
    <col customWidth="1" min="17" max="17" width="22.0"/>
    <col customWidth="1" min="18" max="18" width="44.0"/>
    <col customWidth="1" min="19" max="19" width="48.0"/>
    <col customWidth="1" min="20" max="26" width="8.63"/>
  </cols>
  <sheetData>
    <row r="1" ht="31.5" customHeight="1">
      <c r="A1" s="4" t="s">
        <v>28</v>
      </c>
    </row>
    <row r="2" ht="25.5" customHeight="1">
      <c r="A2" s="5" t="s">
        <v>33</v>
      </c>
    </row>
    <row r="3" ht="37.5" customHeight="1">
      <c r="A3" s="13" t="s">
        <v>35</v>
      </c>
      <c r="B3" s="13" t="s">
        <v>45</v>
      </c>
      <c r="C3" s="13" t="s">
        <v>46</v>
      </c>
      <c r="D3" s="13" t="s">
        <v>0</v>
      </c>
      <c r="E3" s="13" t="s">
        <v>48</v>
      </c>
      <c r="F3" s="13" t="s">
        <v>49</v>
      </c>
      <c r="G3" s="13" t="s">
        <v>1</v>
      </c>
      <c r="H3" s="13" t="s">
        <v>2</v>
      </c>
      <c r="I3" s="13" t="s">
        <v>51</v>
      </c>
      <c r="J3" s="13" t="s">
        <v>52</v>
      </c>
      <c r="K3" s="13" t="s">
        <v>53</v>
      </c>
      <c r="L3" s="13" t="s">
        <v>54</v>
      </c>
      <c r="M3" s="13" t="s">
        <v>56</v>
      </c>
      <c r="N3" s="13" t="s">
        <v>47</v>
      </c>
      <c r="O3" s="13" t="s">
        <v>44</v>
      </c>
      <c r="P3" s="13" t="s">
        <v>43</v>
      </c>
      <c r="Q3" s="13" t="s">
        <v>40</v>
      </c>
      <c r="R3" s="13" t="s">
        <v>57</v>
      </c>
      <c r="S3" s="13" t="s">
        <v>58</v>
      </c>
    </row>
    <row r="4" ht="43.5" customHeight="1">
      <c r="A4" s="14" t="s">
        <v>59</v>
      </c>
      <c r="B4" s="14" t="s">
        <v>28</v>
      </c>
      <c r="C4" s="14"/>
      <c r="D4" s="15" t="s">
        <v>4</v>
      </c>
      <c r="E4" s="14" t="s">
        <v>60</v>
      </c>
      <c r="F4" s="14" t="s">
        <v>61</v>
      </c>
      <c r="G4" s="14" t="s">
        <v>5</v>
      </c>
      <c r="H4" s="14" t="s">
        <v>6</v>
      </c>
      <c r="I4" s="14" t="s">
        <v>64</v>
      </c>
      <c r="J4" s="21">
        <v>46234.0</v>
      </c>
      <c r="K4" s="21">
        <v>46234.0</v>
      </c>
      <c r="L4" s="21"/>
      <c r="M4" s="14"/>
      <c r="N4" s="14" t="s">
        <v>11</v>
      </c>
      <c r="O4" s="14" t="s">
        <v>11</v>
      </c>
      <c r="P4" s="14" t="s">
        <v>11</v>
      </c>
      <c r="Q4" s="14" t="s">
        <v>11</v>
      </c>
      <c r="R4" s="14"/>
      <c r="S4" s="14" t="s">
        <v>65</v>
      </c>
    </row>
    <row r="5" ht="43.5" customHeight="1">
      <c r="A5" s="14" t="s">
        <v>66</v>
      </c>
      <c r="B5" s="14" t="s">
        <v>67</v>
      </c>
      <c r="C5" s="22" t="s">
        <v>68</v>
      </c>
      <c r="D5" s="15" t="s">
        <v>4</v>
      </c>
      <c r="E5" s="14" t="s">
        <v>69</v>
      </c>
      <c r="F5" s="14" t="s">
        <v>70</v>
      </c>
      <c r="G5" s="14" t="s">
        <v>21</v>
      </c>
      <c r="H5" s="14" t="s">
        <v>6</v>
      </c>
      <c r="I5" s="14" t="s">
        <v>71</v>
      </c>
      <c r="J5" s="21"/>
      <c r="K5" s="21">
        <v>46234.0</v>
      </c>
      <c r="L5" s="21"/>
      <c r="M5" s="14"/>
      <c r="N5" s="14" t="s">
        <v>11</v>
      </c>
      <c r="O5" s="14" t="s">
        <v>11</v>
      </c>
      <c r="P5" s="14" t="s">
        <v>7</v>
      </c>
      <c r="Q5" s="14" t="s">
        <v>7</v>
      </c>
      <c r="R5" s="14"/>
      <c r="S5" s="14" t="s">
        <v>72</v>
      </c>
    </row>
    <row r="6" ht="43.5" customHeight="1">
      <c r="A6" s="14" t="s">
        <v>73</v>
      </c>
      <c r="B6" s="14" t="s">
        <v>74</v>
      </c>
      <c r="C6" s="23" t="s">
        <v>75</v>
      </c>
      <c r="D6" s="15" t="s">
        <v>4</v>
      </c>
      <c r="E6" s="14" t="s">
        <v>76</v>
      </c>
      <c r="F6" s="14" t="s">
        <v>61</v>
      </c>
      <c r="G6" s="15" t="s">
        <v>9</v>
      </c>
      <c r="H6" s="14" t="s">
        <v>6</v>
      </c>
      <c r="I6" s="14" t="s">
        <v>77</v>
      </c>
      <c r="J6" s="21"/>
      <c r="K6" s="21">
        <v>46234.0</v>
      </c>
      <c r="L6" s="21"/>
      <c r="M6" s="14"/>
      <c r="N6" s="14" t="s">
        <v>11</v>
      </c>
      <c r="O6" s="14" t="s">
        <v>11</v>
      </c>
      <c r="P6" s="14" t="s">
        <v>7</v>
      </c>
      <c r="Q6" s="14" t="s">
        <v>7</v>
      </c>
      <c r="R6" s="14" t="s">
        <v>78</v>
      </c>
      <c r="S6" s="14" t="s">
        <v>79</v>
      </c>
    </row>
    <row r="7" ht="43.5" customHeight="1">
      <c r="A7" s="14" t="s">
        <v>80</v>
      </c>
      <c r="B7" s="15" t="s">
        <v>81</v>
      </c>
      <c r="C7" s="23" t="s">
        <v>82</v>
      </c>
      <c r="D7" s="15" t="s">
        <v>4</v>
      </c>
      <c r="E7" s="14" t="s">
        <v>83</v>
      </c>
      <c r="F7" s="14" t="s">
        <v>84</v>
      </c>
      <c r="G7" s="14" t="s">
        <v>21</v>
      </c>
      <c r="H7" s="14" t="s">
        <v>18</v>
      </c>
      <c r="I7" s="14" t="s">
        <v>85</v>
      </c>
      <c r="J7" s="21"/>
      <c r="K7" s="21">
        <v>46234.0</v>
      </c>
      <c r="L7" s="21"/>
      <c r="M7" s="14"/>
      <c r="N7" s="14" t="s">
        <v>11</v>
      </c>
      <c r="O7" s="14" t="s">
        <v>11</v>
      </c>
      <c r="P7" s="14" t="s">
        <v>7</v>
      </c>
      <c r="Q7" s="14" t="s">
        <v>7</v>
      </c>
      <c r="R7" s="14" t="s">
        <v>86</v>
      </c>
      <c r="S7" s="14" t="s">
        <v>87</v>
      </c>
    </row>
    <row r="8" ht="43.5" customHeight="1">
      <c r="A8" s="14" t="s">
        <v>88</v>
      </c>
      <c r="B8" s="15" t="s">
        <v>89</v>
      </c>
      <c r="C8" s="23" t="s">
        <v>90</v>
      </c>
      <c r="D8" s="15" t="s">
        <v>8</v>
      </c>
      <c r="E8" s="14" t="s">
        <v>91</v>
      </c>
      <c r="F8" s="14" t="s">
        <v>92</v>
      </c>
      <c r="G8" s="15" t="s">
        <v>5</v>
      </c>
      <c r="H8" s="14" t="s">
        <v>6</v>
      </c>
      <c r="I8" s="14" t="s">
        <v>93</v>
      </c>
      <c r="J8" s="21"/>
      <c r="K8" s="21">
        <v>46234.0</v>
      </c>
      <c r="L8" s="21"/>
      <c r="M8" s="14"/>
      <c r="N8" s="14" t="s">
        <v>11</v>
      </c>
      <c r="O8" s="14" t="s">
        <v>11</v>
      </c>
      <c r="P8" s="14" t="s">
        <v>7</v>
      </c>
      <c r="Q8" s="14" t="s">
        <v>7</v>
      </c>
      <c r="R8" s="14" t="s">
        <v>94</v>
      </c>
      <c r="S8" s="14" t="s">
        <v>95</v>
      </c>
    </row>
    <row r="9" ht="43.5" customHeight="1">
      <c r="A9" s="14" t="s">
        <v>96</v>
      </c>
      <c r="B9" s="15" t="s">
        <v>97</v>
      </c>
      <c r="C9" s="23" t="s">
        <v>98</v>
      </c>
      <c r="D9" s="15" t="s">
        <v>8</v>
      </c>
      <c r="E9" s="14" t="s">
        <v>99</v>
      </c>
      <c r="F9" s="14" t="s">
        <v>92</v>
      </c>
      <c r="G9" s="15" t="s">
        <v>5</v>
      </c>
      <c r="H9" s="14" t="s">
        <v>6</v>
      </c>
      <c r="I9" s="14" t="s">
        <v>93</v>
      </c>
      <c r="J9" s="21"/>
      <c r="K9" s="21">
        <v>46234.0</v>
      </c>
      <c r="L9" s="21"/>
      <c r="M9" s="15" t="s">
        <v>100</v>
      </c>
      <c r="N9" s="14" t="s">
        <v>11</v>
      </c>
      <c r="O9" s="14" t="s">
        <v>11</v>
      </c>
      <c r="P9" s="14" t="s">
        <v>7</v>
      </c>
      <c r="Q9" s="14" t="s">
        <v>7</v>
      </c>
      <c r="R9" s="14" t="s">
        <v>101</v>
      </c>
      <c r="S9" s="14" t="s">
        <v>102</v>
      </c>
    </row>
    <row r="10" ht="43.5" customHeight="1">
      <c r="A10" s="14" t="s">
        <v>103</v>
      </c>
      <c r="B10" s="15" t="s">
        <v>104</v>
      </c>
      <c r="C10" s="23" t="s">
        <v>105</v>
      </c>
      <c r="D10" s="15" t="s">
        <v>8</v>
      </c>
      <c r="E10" s="14" t="s">
        <v>106</v>
      </c>
      <c r="F10" s="14" t="s">
        <v>84</v>
      </c>
      <c r="G10" s="15" t="s">
        <v>5</v>
      </c>
      <c r="H10" s="14" t="s">
        <v>6</v>
      </c>
      <c r="I10" s="14" t="s">
        <v>107</v>
      </c>
      <c r="J10" s="21"/>
      <c r="K10" s="21">
        <v>46234.0</v>
      </c>
      <c r="L10" s="21"/>
      <c r="M10" s="14"/>
      <c r="N10" s="14" t="s">
        <v>11</v>
      </c>
      <c r="O10" s="14" t="s">
        <v>11</v>
      </c>
      <c r="P10" s="14" t="s">
        <v>7</v>
      </c>
      <c r="Q10" s="14" t="s">
        <v>7</v>
      </c>
      <c r="R10" s="14" t="s">
        <v>108</v>
      </c>
      <c r="S10" s="14" t="s">
        <v>109</v>
      </c>
    </row>
    <row r="11" ht="43.5" customHeight="1">
      <c r="A11" s="14" t="s">
        <v>110</v>
      </c>
      <c r="B11" s="15" t="s">
        <v>111</v>
      </c>
      <c r="C11" s="23" t="s">
        <v>112</v>
      </c>
      <c r="D11" s="15" t="s">
        <v>8</v>
      </c>
      <c r="E11" s="14" t="s">
        <v>113</v>
      </c>
      <c r="F11" s="14" t="s">
        <v>84</v>
      </c>
      <c r="G11" s="15" t="s">
        <v>5</v>
      </c>
      <c r="H11" s="14" t="s">
        <v>6</v>
      </c>
      <c r="I11" s="14" t="s">
        <v>107</v>
      </c>
      <c r="J11" s="21"/>
      <c r="K11" s="21">
        <v>46234.0</v>
      </c>
      <c r="L11" s="21"/>
      <c r="M11" s="15" t="s">
        <v>114</v>
      </c>
      <c r="N11" s="14" t="s">
        <v>11</v>
      </c>
      <c r="O11" s="14" t="s">
        <v>11</v>
      </c>
      <c r="P11" s="14" t="s">
        <v>7</v>
      </c>
      <c r="Q11" s="14" t="s">
        <v>7</v>
      </c>
      <c r="R11" s="14" t="s">
        <v>115</v>
      </c>
      <c r="S11" s="14" t="s">
        <v>116</v>
      </c>
    </row>
    <row r="12" ht="43.5" customHeight="1">
      <c r="A12" s="14" t="s">
        <v>117</v>
      </c>
      <c r="B12" s="15" t="s">
        <v>118</v>
      </c>
      <c r="C12" s="23" t="s">
        <v>119</v>
      </c>
      <c r="D12" s="15" t="s">
        <v>8</v>
      </c>
      <c r="E12" s="14" t="s">
        <v>106</v>
      </c>
      <c r="F12" s="14" t="s">
        <v>84</v>
      </c>
      <c r="G12" s="15" t="s">
        <v>5</v>
      </c>
      <c r="H12" s="14" t="s">
        <v>6</v>
      </c>
      <c r="I12" s="14" t="s">
        <v>120</v>
      </c>
      <c r="J12" s="21"/>
      <c r="K12" s="21">
        <v>46234.0</v>
      </c>
      <c r="L12" s="21"/>
      <c r="M12" s="14"/>
      <c r="N12" s="14" t="s">
        <v>11</v>
      </c>
      <c r="O12" s="14" t="s">
        <v>11</v>
      </c>
      <c r="P12" s="14" t="s">
        <v>7</v>
      </c>
      <c r="Q12" s="14" t="s">
        <v>7</v>
      </c>
      <c r="R12" s="14" t="s">
        <v>121</v>
      </c>
      <c r="S12" s="14" t="s">
        <v>109</v>
      </c>
    </row>
    <row r="13" ht="43.5" customHeight="1">
      <c r="A13" s="14" t="s">
        <v>122</v>
      </c>
      <c r="B13" s="15" t="s">
        <v>123</v>
      </c>
      <c r="C13" s="23" t="s">
        <v>124</v>
      </c>
      <c r="D13" s="15" t="s">
        <v>8</v>
      </c>
      <c r="E13" s="14" t="s">
        <v>113</v>
      </c>
      <c r="F13" s="14" t="s">
        <v>84</v>
      </c>
      <c r="G13" s="15" t="s">
        <v>5</v>
      </c>
      <c r="H13" s="14" t="s">
        <v>6</v>
      </c>
      <c r="I13" s="14" t="s">
        <v>120</v>
      </c>
      <c r="J13" s="21"/>
      <c r="K13" s="21">
        <v>46234.0</v>
      </c>
      <c r="L13" s="21"/>
      <c r="M13" s="15" t="s">
        <v>125</v>
      </c>
      <c r="N13" s="14" t="s">
        <v>11</v>
      </c>
      <c r="O13" s="14" t="s">
        <v>11</v>
      </c>
      <c r="P13" s="14" t="s">
        <v>7</v>
      </c>
      <c r="Q13" s="14" t="s">
        <v>7</v>
      </c>
      <c r="R13" s="14" t="s">
        <v>115</v>
      </c>
      <c r="S13" s="14" t="s">
        <v>116</v>
      </c>
    </row>
    <row r="14" ht="43.5" customHeight="1">
      <c r="A14" s="14" t="s">
        <v>126</v>
      </c>
      <c r="B14" s="15" t="s">
        <v>127</v>
      </c>
      <c r="C14" s="23" t="s">
        <v>128</v>
      </c>
      <c r="D14" s="15" t="s">
        <v>8</v>
      </c>
      <c r="E14" s="14" t="s">
        <v>129</v>
      </c>
      <c r="F14" s="14" t="s">
        <v>84</v>
      </c>
      <c r="G14" s="15" t="s">
        <v>5</v>
      </c>
      <c r="H14" s="14" t="s">
        <v>6</v>
      </c>
      <c r="I14" s="14" t="s">
        <v>130</v>
      </c>
      <c r="J14" s="21"/>
      <c r="K14" s="21">
        <v>46234.0</v>
      </c>
      <c r="L14" s="21"/>
      <c r="M14" s="14"/>
      <c r="N14" s="14" t="s">
        <v>11</v>
      </c>
      <c r="O14" s="14" t="s">
        <v>11</v>
      </c>
      <c r="P14" s="14" t="s">
        <v>7</v>
      </c>
      <c r="Q14" s="14" t="s">
        <v>7</v>
      </c>
      <c r="R14" s="14" t="s">
        <v>131</v>
      </c>
      <c r="S14" s="14" t="s">
        <v>132</v>
      </c>
    </row>
    <row r="15" ht="43.5" customHeight="1">
      <c r="A15" s="14" t="s">
        <v>133</v>
      </c>
      <c r="B15" s="14" t="s">
        <v>134</v>
      </c>
      <c r="C15" s="23" t="s">
        <v>135</v>
      </c>
      <c r="D15" s="15" t="s">
        <v>12</v>
      </c>
      <c r="E15" s="14" t="s">
        <v>136</v>
      </c>
      <c r="F15" s="14" t="s">
        <v>137</v>
      </c>
      <c r="G15" s="15" t="s">
        <v>5</v>
      </c>
      <c r="H15" s="14" t="s">
        <v>6</v>
      </c>
      <c r="I15" s="14" t="s">
        <v>138</v>
      </c>
      <c r="J15" s="21"/>
      <c r="K15" s="21">
        <v>46234.0</v>
      </c>
      <c r="L15" s="21"/>
      <c r="M15" s="14"/>
      <c r="N15" s="14" t="s">
        <v>11</v>
      </c>
      <c r="O15" s="14" t="s">
        <v>11</v>
      </c>
      <c r="P15" s="14" t="s">
        <v>7</v>
      </c>
      <c r="Q15" s="14" t="s">
        <v>7</v>
      </c>
      <c r="R15" s="14" t="s">
        <v>139</v>
      </c>
      <c r="S15" s="14" t="s">
        <v>140</v>
      </c>
    </row>
    <row r="16" ht="43.5" customHeight="1">
      <c r="A16" s="14" t="s">
        <v>141</v>
      </c>
      <c r="B16" s="14" t="s">
        <v>142</v>
      </c>
      <c r="C16" s="22" t="s">
        <v>143</v>
      </c>
      <c r="D16" s="15" t="s">
        <v>16</v>
      </c>
      <c r="E16" s="14" t="s">
        <v>144</v>
      </c>
      <c r="F16" s="14" t="s">
        <v>145</v>
      </c>
      <c r="G16" s="15" t="s">
        <v>5</v>
      </c>
      <c r="H16" s="14" t="s">
        <v>6</v>
      </c>
      <c r="I16" s="14" t="s">
        <v>146</v>
      </c>
      <c r="J16" s="21"/>
      <c r="K16" s="21">
        <v>46234.0</v>
      </c>
      <c r="L16" s="21"/>
      <c r="M16" s="14"/>
      <c r="N16" s="14" t="s">
        <v>11</v>
      </c>
      <c r="O16" s="14" t="s">
        <v>11</v>
      </c>
      <c r="P16" s="14" t="s">
        <v>7</v>
      </c>
      <c r="Q16" s="14" t="s">
        <v>7</v>
      </c>
      <c r="R16" s="14" t="s">
        <v>147</v>
      </c>
      <c r="S16" s="14" t="s">
        <v>148</v>
      </c>
    </row>
    <row r="17" ht="43.5" customHeight="1">
      <c r="A17" s="14" t="s">
        <v>149</v>
      </c>
      <c r="B17" s="14" t="s">
        <v>150</v>
      </c>
      <c r="C17" s="23" t="s">
        <v>151</v>
      </c>
      <c r="D17" s="15" t="s">
        <v>16</v>
      </c>
      <c r="E17" s="14" t="s">
        <v>152</v>
      </c>
      <c r="F17" s="14" t="s">
        <v>153</v>
      </c>
      <c r="G17" s="15" t="s">
        <v>5</v>
      </c>
      <c r="H17" s="14" t="s">
        <v>6</v>
      </c>
      <c r="I17" s="14" t="s">
        <v>154</v>
      </c>
      <c r="J17" s="21"/>
      <c r="K17" s="21">
        <v>46234.0</v>
      </c>
      <c r="L17" s="21"/>
      <c r="M17" s="14"/>
      <c r="N17" s="14" t="s">
        <v>11</v>
      </c>
      <c r="O17" s="14" t="s">
        <v>11</v>
      </c>
      <c r="P17" s="14" t="s">
        <v>7</v>
      </c>
      <c r="Q17" s="14" t="s">
        <v>7</v>
      </c>
      <c r="R17" s="14" t="s">
        <v>155</v>
      </c>
      <c r="S17" s="14" t="s">
        <v>156</v>
      </c>
    </row>
    <row r="18" ht="43.5" customHeight="1">
      <c r="A18" s="14" t="s">
        <v>157</v>
      </c>
      <c r="B18" s="14" t="s">
        <v>158</v>
      </c>
      <c r="C18" s="15" t="s">
        <v>159</v>
      </c>
      <c r="D18" s="15" t="s">
        <v>16</v>
      </c>
      <c r="E18" s="14" t="s">
        <v>160</v>
      </c>
      <c r="F18" s="14" t="s">
        <v>145</v>
      </c>
      <c r="G18" s="15" t="s">
        <v>5</v>
      </c>
      <c r="H18" s="14" t="s">
        <v>6</v>
      </c>
      <c r="I18" s="14" t="s">
        <v>161</v>
      </c>
      <c r="J18" s="21"/>
      <c r="K18" s="21">
        <v>46234.0</v>
      </c>
      <c r="L18" s="21"/>
      <c r="M18" s="14"/>
      <c r="N18" s="14" t="s">
        <v>11</v>
      </c>
      <c r="O18" s="14" t="s">
        <v>11</v>
      </c>
      <c r="P18" s="14" t="s">
        <v>7</v>
      </c>
      <c r="Q18" s="14" t="s">
        <v>7</v>
      </c>
      <c r="R18" s="14" t="s">
        <v>162</v>
      </c>
      <c r="S18" s="14" t="s">
        <v>163</v>
      </c>
    </row>
    <row r="19" ht="43.5" customHeight="1">
      <c r="A19" s="14" t="s">
        <v>164</v>
      </c>
      <c r="B19" s="14" t="s">
        <v>165</v>
      </c>
      <c r="C19" s="22" t="s">
        <v>166</v>
      </c>
      <c r="D19" s="15" t="s">
        <v>20</v>
      </c>
      <c r="E19" s="14" t="s">
        <v>167</v>
      </c>
      <c r="F19" s="14" t="s">
        <v>168</v>
      </c>
      <c r="G19" s="15" t="s">
        <v>5</v>
      </c>
      <c r="H19" s="14" t="s">
        <v>6</v>
      </c>
      <c r="I19" s="14" t="s">
        <v>169</v>
      </c>
      <c r="J19" s="21"/>
      <c r="K19" s="21">
        <v>46234.0</v>
      </c>
      <c r="L19" s="21"/>
      <c r="M19" s="14"/>
      <c r="N19" s="14" t="s">
        <v>11</v>
      </c>
      <c r="O19" s="14" t="s">
        <v>11</v>
      </c>
      <c r="P19" s="14" t="s">
        <v>7</v>
      </c>
      <c r="Q19" s="14" t="s">
        <v>7</v>
      </c>
      <c r="R19" s="14" t="s">
        <v>170</v>
      </c>
      <c r="S19" s="14" t="s">
        <v>171</v>
      </c>
    </row>
    <row r="20" ht="43.5" customHeight="1">
      <c r="A20" s="14" t="s">
        <v>172</v>
      </c>
      <c r="B20" s="14" t="s">
        <v>173</v>
      </c>
      <c r="C20" s="15" t="s">
        <v>174</v>
      </c>
      <c r="D20" s="15" t="s">
        <v>20</v>
      </c>
      <c r="E20" s="14" t="s">
        <v>175</v>
      </c>
      <c r="F20" s="14" t="s">
        <v>176</v>
      </c>
      <c r="G20" s="14" t="s">
        <v>21</v>
      </c>
      <c r="H20" s="14" t="s">
        <v>6</v>
      </c>
      <c r="I20" s="14" t="s">
        <v>177</v>
      </c>
      <c r="J20" s="21"/>
      <c r="K20" s="21">
        <v>46234.0</v>
      </c>
      <c r="L20" s="21"/>
      <c r="M20" s="14"/>
      <c r="N20" s="14" t="s">
        <v>7</v>
      </c>
      <c r="O20" s="14" t="s">
        <v>11</v>
      </c>
      <c r="P20" s="14" t="s">
        <v>7</v>
      </c>
      <c r="Q20" s="14" t="s">
        <v>7</v>
      </c>
      <c r="R20" s="14" t="s">
        <v>178</v>
      </c>
      <c r="S20" s="14" t="s">
        <v>179</v>
      </c>
    </row>
    <row r="21" ht="43.5" customHeight="1">
      <c r="A21" s="14" t="s">
        <v>180</v>
      </c>
      <c r="B21" s="14" t="s">
        <v>181</v>
      </c>
      <c r="C21" s="23" t="s">
        <v>182</v>
      </c>
      <c r="D21" s="15" t="s">
        <v>20</v>
      </c>
      <c r="E21" s="14" t="s">
        <v>183</v>
      </c>
      <c r="F21" s="14" t="s">
        <v>168</v>
      </c>
      <c r="G21" s="15" t="s">
        <v>5</v>
      </c>
      <c r="H21" s="14" t="s">
        <v>6</v>
      </c>
      <c r="I21" s="14" t="s">
        <v>184</v>
      </c>
      <c r="J21" s="21"/>
      <c r="K21" s="21">
        <v>46234.0</v>
      </c>
      <c r="L21" s="21"/>
      <c r="M21" s="14"/>
      <c r="N21" s="14" t="s">
        <v>7</v>
      </c>
      <c r="O21" s="14" t="s">
        <v>11</v>
      </c>
      <c r="P21" s="14" t="s">
        <v>7</v>
      </c>
      <c r="Q21" s="14" t="s">
        <v>7</v>
      </c>
      <c r="R21" s="14" t="s">
        <v>185</v>
      </c>
      <c r="S21" s="14" t="s">
        <v>186</v>
      </c>
    </row>
    <row r="22" ht="43.5" customHeight="1">
      <c r="A22" s="14" t="s">
        <v>187</v>
      </c>
      <c r="B22" s="14" t="s">
        <v>188</v>
      </c>
      <c r="C22" s="15" t="s">
        <v>189</v>
      </c>
      <c r="D22" s="15" t="s">
        <v>20</v>
      </c>
      <c r="E22" s="14" t="s">
        <v>190</v>
      </c>
      <c r="F22" s="14" t="s">
        <v>145</v>
      </c>
      <c r="G22" s="15" t="s">
        <v>5</v>
      </c>
      <c r="H22" s="14" t="s">
        <v>6</v>
      </c>
      <c r="I22" s="14" t="s">
        <v>191</v>
      </c>
      <c r="J22" s="21"/>
      <c r="K22" s="21">
        <v>46234.0</v>
      </c>
      <c r="L22" s="21"/>
      <c r="M22" s="14"/>
      <c r="N22" s="14" t="s">
        <v>11</v>
      </c>
      <c r="O22" s="14" t="s">
        <v>11</v>
      </c>
      <c r="P22" s="14" t="s">
        <v>7</v>
      </c>
      <c r="Q22" s="14" t="s">
        <v>7</v>
      </c>
      <c r="R22" s="14" t="s">
        <v>192</v>
      </c>
      <c r="S22" s="14" t="s">
        <v>193</v>
      </c>
    </row>
    <row r="23" ht="43.5" customHeight="1">
      <c r="A23" s="14" t="s">
        <v>194</v>
      </c>
      <c r="B23" s="14" t="s">
        <v>195</v>
      </c>
      <c r="C23" s="23" t="s">
        <v>196</v>
      </c>
      <c r="D23" s="15" t="s">
        <v>22</v>
      </c>
      <c r="E23" s="14" t="s">
        <v>197</v>
      </c>
      <c r="F23" s="14" t="s">
        <v>176</v>
      </c>
      <c r="G23" s="15" t="s">
        <v>5</v>
      </c>
      <c r="H23" s="14" t="s">
        <v>10</v>
      </c>
      <c r="I23" s="14" t="s">
        <v>198</v>
      </c>
      <c r="J23" s="21"/>
      <c r="K23" s="21">
        <v>46234.0</v>
      </c>
      <c r="L23" s="21"/>
      <c r="M23" s="14"/>
      <c r="N23" s="14" t="s">
        <v>11</v>
      </c>
      <c r="O23" s="14" t="s">
        <v>11</v>
      </c>
      <c r="P23" s="14" t="s">
        <v>7</v>
      </c>
      <c r="Q23" s="14" t="s">
        <v>7</v>
      </c>
      <c r="R23" s="14" t="s">
        <v>199</v>
      </c>
      <c r="S23" s="14" t="s">
        <v>200</v>
      </c>
    </row>
    <row r="24" ht="43.5" customHeight="1">
      <c r="A24" s="14" t="s">
        <v>201</v>
      </c>
      <c r="B24" s="14" t="s">
        <v>202</v>
      </c>
      <c r="C24" s="23" t="s">
        <v>203</v>
      </c>
      <c r="D24" s="15" t="s">
        <v>22</v>
      </c>
      <c r="E24" s="14" t="s">
        <v>197</v>
      </c>
      <c r="F24" s="14" t="s">
        <v>176</v>
      </c>
      <c r="G24" s="15" t="s">
        <v>5</v>
      </c>
      <c r="H24" s="14" t="s">
        <v>10</v>
      </c>
      <c r="I24" s="14" t="s">
        <v>120</v>
      </c>
      <c r="J24" s="21"/>
      <c r="K24" s="21">
        <v>46234.0</v>
      </c>
      <c r="L24" s="21"/>
      <c r="M24" s="14"/>
      <c r="N24" s="14" t="s">
        <v>11</v>
      </c>
      <c r="O24" s="14" t="s">
        <v>11</v>
      </c>
      <c r="P24" s="14" t="s">
        <v>7</v>
      </c>
      <c r="Q24" s="14" t="s">
        <v>7</v>
      </c>
      <c r="R24" s="14" t="s">
        <v>199</v>
      </c>
      <c r="S24" s="14" t="s">
        <v>200</v>
      </c>
    </row>
    <row r="25" ht="43.5" customHeight="1">
      <c r="A25" s="14" t="s">
        <v>204</v>
      </c>
      <c r="B25" s="14" t="s">
        <v>205</v>
      </c>
      <c r="C25" s="24" t="s">
        <v>206</v>
      </c>
      <c r="D25" s="15" t="s">
        <v>22</v>
      </c>
      <c r="E25" s="14" t="s">
        <v>197</v>
      </c>
      <c r="F25" s="14" t="s">
        <v>176</v>
      </c>
      <c r="G25" s="15" t="s">
        <v>5</v>
      </c>
      <c r="H25" s="14" t="s">
        <v>10</v>
      </c>
      <c r="I25" s="14" t="s">
        <v>207</v>
      </c>
      <c r="J25" s="21"/>
      <c r="K25" s="21">
        <v>46234.0</v>
      </c>
      <c r="L25" s="21"/>
      <c r="M25" s="14"/>
      <c r="N25" s="14" t="s">
        <v>11</v>
      </c>
      <c r="O25" s="14" t="s">
        <v>11</v>
      </c>
      <c r="P25" s="14" t="s">
        <v>7</v>
      </c>
      <c r="Q25" s="14" t="s">
        <v>7</v>
      </c>
      <c r="R25" s="14" t="s">
        <v>208</v>
      </c>
      <c r="S25" s="14" t="s">
        <v>200</v>
      </c>
    </row>
    <row r="26" ht="43.5" customHeight="1">
      <c r="A26" s="14" t="s">
        <v>209</v>
      </c>
      <c r="B26" s="14" t="s">
        <v>210</v>
      </c>
      <c r="C26" s="23" t="s">
        <v>211</v>
      </c>
      <c r="D26" s="15" t="s">
        <v>22</v>
      </c>
      <c r="E26" s="14" t="s">
        <v>197</v>
      </c>
      <c r="F26" s="14" t="s">
        <v>176</v>
      </c>
      <c r="G26" s="15" t="s">
        <v>5</v>
      </c>
      <c r="H26" s="14" t="s">
        <v>10</v>
      </c>
      <c r="I26" s="14" t="s">
        <v>212</v>
      </c>
      <c r="J26" s="21"/>
      <c r="K26" s="21">
        <v>46234.0</v>
      </c>
      <c r="L26" s="21"/>
      <c r="M26" s="14"/>
      <c r="N26" s="14" t="s">
        <v>11</v>
      </c>
      <c r="O26" s="14" t="s">
        <v>11</v>
      </c>
      <c r="P26" s="14" t="s">
        <v>7</v>
      </c>
      <c r="Q26" s="14" t="s">
        <v>7</v>
      </c>
      <c r="R26" s="14" t="s">
        <v>213</v>
      </c>
      <c r="S26" s="14" t="s">
        <v>200</v>
      </c>
    </row>
    <row r="27" ht="43.5" customHeight="1">
      <c r="A27" s="14" t="s">
        <v>214</v>
      </c>
      <c r="B27" s="14" t="s">
        <v>215</v>
      </c>
      <c r="C27" s="23" t="s">
        <v>216</v>
      </c>
      <c r="D27" s="15" t="s">
        <v>22</v>
      </c>
      <c r="E27" s="14" t="s">
        <v>197</v>
      </c>
      <c r="F27" s="14" t="s">
        <v>176</v>
      </c>
      <c r="G27" s="15" t="s">
        <v>5</v>
      </c>
      <c r="H27" s="14" t="s">
        <v>10</v>
      </c>
      <c r="I27" s="14" t="s">
        <v>217</v>
      </c>
      <c r="J27" s="21"/>
      <c r="K27" s="21">
        <v>46234.0</v>
      </c>
      <c r="L27" s="21"/>
      <c r="M27" s="14"/>
      <c r="N27" s="14" t="s">
        <v>11</v>
      </c>
      <c r="O27" s="14" t="s">
        <v>11</v>
      </c>
      <c r="P27" s="14" t="s">
        <v>7</v>
      </c>
      <c r="Q27" s="14" t="s">
        <v>7</v>
      </c>
      <c r="R27" s="14" t="s">
        <v>218</v>
      </c>
      <c r="S27" s="14" t="s">
        <v>200</v>
      </c>
    </row>
    <row r="28" ht="43.5" customHeight="1">
      <c r="A28" s="14" t="s">
        <v>219</v>
      </c>
      <c r="B28" s="14" t="s">
        <v>220</v>
      </c>
      <c r="C28" s="23" t="s">
        <v>221</v>
      </c>
      <c r="D28" s="15" t="s">
        <v>22</v>
      </c>
      <c r="E28" s="14" t="s">
        <v>222</v>
      </c>
      <c r="F28" s="14" t="s">
        <v>176</v>
      </c>
      <c r="G28" s="15" t="s">
        <v>5</v>
      </c>
      <c r="H28" s="14" t="s">
        <v>10</v>
      </c>
      <c r="I28" s="14" t="s">
        <v>223</v>
      </c>
      <c r="J28" s="21"/>
      <c r="K28" s="21">
        <v>46234.0</v>
      </c>
      <c r="L28" s="21"/>
      <c r="M28" s="14"/>
      <c r="N28" s="14" t="s">
        <v>7</v>
      </c>
      <c r="O28" s="14" t="s">
        <v>7</v>
      </c>
      <c r="P28" s="14" t="s">
        <v>7</v>
      </c>
      <c r="Q28" s="14" t="s">
        <v>7</v>
      </c>
      <c r="R28" s="14" t="s">
        <v>224</v>
      </c>
      <c r="S28" s="14" t="s">
        <v>200</v>
      </c>
    </row>
    <row r="29" ht="43.5" customHeight="1">
      <c r="A29" s="14" t="s">
        <v>225</v>
      </c>
      <c r="B29" s="15" t="s">
        <v>226</v>
      </c>
      <c r="C29" s="23" t="s">
        <v>227</v>
      </c>
      <c r="D29" s="15" t="s">
        <v>22</v>
      </c>
      <c r="E29" s="14" t="s">
        <v>228</v>
      </c>
      <c r="F29" s="14" t="s">
        <v>176</v>
      </c>
      <c r="G29" s="15" t="s">
        <v>5</v>
      </c>
      <c r="H29" s="14" t="s">
        <v>10</v>
      </c>
      <c r="I29" s="14" t="s">
        <v>229</v>
      </c>
      <c r="J29" s="21"/>
      <c r="K29" s="21">
        <v>46234.0</v>
      </c>
      <c r="L29" s="21"/>
      <c r="M29" s="14"/>
      <c r="N29" s="14" t="s">
        <v>11</v>
      </c>
      <c r="O29" s="14" t="s">
        <v>11</v>
      </c>
      <c r="P29" s="14" t="s">
        <v>7</v>
      </c>
      <c r="Q29" s="14" t="s">
        <v>7</v>
      </c>
      <c r="R29" s="14" t="s">
        <v>230</v>
      </c>
      <c r="S29" s="14" t="s">
        <v>200</v>
      </c>
    </row>
    <row r="30" ht="43.5" customHeight="1">
      <c r="A30" s="14" t="s">
        <v>231</v>
      </c>
      <c r="B30" s="15" t="s">
        <v>232</v>
      </c>
      <c r="C30" s="15" t="s">
        <v>233</v>
      </c>
      <c r="D30" s="15" t="s">
        <v>22</v>
      </c>
      <c r="E30" s="14" t="s">
        <v>228</v>
      </c>
      <c r="F30" s="14" t="s">
        <v>168</v>
      </c>
      <c r="G30" s="15" t="s">
        <v>5</v>
      </c>
      <c r="H30" s="14" t="s">
        <v>10</v>
      </c>
      <c r="I30" s="14" t="s">
        <v>234</v>
      </c>
      <c r="J30" s="21"/>
      <c r="K30" s="21">
        <v>46234.0</v>
      </c>
      <c r="L30" s="21"/>
      <c r="M30" s="14"/>
      <c r="N30" s="14" t="s">
        <v>11</v>
      </c>
      <c r="O30" s="14" t="s">
        <v>11</v>
      </c>
      <c r="P30" s="14" t="s">
        <v>7</v>
      </c>
      <c r="Q30" s="14" t="s">
        <v>7</v>
      </c>
      <c r="R30" s="14" t="s">
        <v>235</v>
      </c>
      <c r="S30" s="14" t="s">
        <v>200</v>
      </c>
    </row>
    <row r="31" ht="43.5" customHeight="1">
      <c r="A31" s="14" t="s">
        <v>236</v>
      </c>
      <c r="B31" s="14" t="s">
        <v>237</v>
      </c>
      <c r="C31" s="23" t="s">
        <v>238</v>
      </c>
      <c r="D31" s="15" t="s">
        <v>22</v>
      </c>
      <c r="E31" s="14" t="s">
        <v>228</v>
      </c>
      <c r="F31" s="14" t="s">
        <v>168</v>
      </c>
      <c r="G31" s="15" t="s">
        <v>5</v>
      </c>
      <c r="H31" s="14" t="s">
        <v>10</v>
      </c>
      <c r="I31" s="14" t="s">
        <v>239</v>
      </c>
      <c r="J31" s="21"/>
      <c r="K31" s="21">
        <v>46234.0</v>
      </c>
      <c r="L31" s="21"/>
      <c r="M31" s="14"/>
      <c r="N31" s="14" t="s">
        <v>11</v>
      </c>
      <c r="O31" s="14" t="s">
        <v>11</v>
      </c>
      <c r="P31" s="14" t="s">
        <v>7</v>
      </c>
      <c r="Q31" s="14" t="s">
        <v>7</v>
      </c>
      <c r="R31" s="14" t="s">
        <v>240</v>
      </c>
      <c r="S31" s="14" t="s">
        <v>200</v>
      </c>
    </row>
    <row r="32" ht="43.5" customHeight="1">
      <c r="A32" s="14" t="s">
        <v>241</v>
      </c>
      <c r="B32" s="14" t="s">
        <v>242</v>
      </c>
      <c r="C32" s="15" t="s">
        <v>243</v>
      </c>
      <c r="D32" s="15" t="s">
        <v>22</v>
      </c>
      <c r="E32" s="14" t="s">
        <v>228</v>
      </c>
      <c r="F32" s="14" t="s">
        <v>244</v>
      </c>
      <c r="G32" s="15" t="s">
        <v>5</v>
      </c>
      <c r="H32" s="14" t="s">
        <v>10</v>
      </c>
      <c r="I32" s="14" t="s">
        <v>245</v>
      </c>
      <c r="J32" s="21"/>
      <c r="K32" s="21">
        <v>46234.0</v>
      </c>
      <c r="L32" s="21"/>
      <c r="M32" s="14"/>
      <c r="N32" s="14" t="s">
        <v>11</v>
      </c>
      <c r="O32" s="14" t="s">
        <v>11</v>
      </c>
      <c r="P32" s="14" t="s">
        <v>7</v>
      </c>
      <c r="Q32" s="14" t="s">
        <v>7</v>
      </c>
      <c r="R32" s="14" t="s">
        <v>246</v>
      </c>
      <c r="S32" s="14" t="s">
        <v>200</v>
      </c>
    </row>
    <row r="33" ht="43.5" customHeight="1">
      <c r="A33" s="14" t="s">
        <v>247</v>
      </c>
      <c r="B33" s="14" t="s">
        <v>248</v>
      </c>
      <c r="C33" s="23" t="s">
        <v>249</v>
      </c>
      <c r="D33" s="15" t="s">
        <v>22</v>
      </c>
      <c r="E33" s="14" t="s">
        <v>228</v>
      </c>
      <c r="F33" s="14" t="s">
        <v>137</v>
      </c>
      <c r="G33" s="15" t="s">
        <v>5</v>
      </c>
      <c r="H33" s="14" t="s">
        <v>10</v>
      </c>
      <c r="I33" s="14" t="s">
        <v>250</v>
      </c>
      <c r="J33" s="21"/>
      <c r="K33" s="21">
        <v>46234.0</v>
      </c>
      <c r="L33" s="21"/>
      <c r="M33" s="14"/>
      <c r="N33" s="14" t="s">
        <v>11</v>
      </c>
      <c r="O33" s="14" t="s">
        <v>11</v>
      </c>
      <c r="P33" s="14" t="s">
        <v>7</v>
      </c>
      <c r="Q33" s="14" t="s">
        <v>7</v>
      </c>
      <c r="R33" s="14" t="s">
        <v>251</v>
      </c>
      <c r="S33" s="14" t="s">
        <v>200</v>
      </c>
    </row>
    <row r="34" ht="43.5" customHeight="1">
      <c r="A34" s="14" t="s">
        <v>252</v>
      </c>
      <c r="B34" s="15" t="s">
        <v>253</v>
      </c>
      <c r="C34" s="23" t="s">
        <v>254</v>
      </c>
      <c r="D34" s="15" t="s">
        <v>24</v>
      </c>
      <c r="E34" s="14" t="s">
        <v>255</v>
      </c>
      <c r="F34" s="14" t="s">
        <v>176</v>
      </c>
      <c r="G34" s="15" t="s">
        <v>29</v>
      </c>
      <c r="H34" s="14" t="s">
        <v>14</v>
      </c>
      <c r="I34" s="14" t="s">
        <v>256</v>
      </c>
      <c r="J34" s="21"/>
      <c r="K34" s="21">
        <v>46234.0</v>
      </c>
      <c r="L34" s="21"/>
      <c r="M34" s="15" t="s">
        <v>257</v>
      </c>
      <c r="N34" s="14" t="s">
        <v>7</v>
      </c>
      <c r="O34" s="14" t="s">
        <v>7</v>
      </c>
      <c r="P34" s="14" t="s">
        <v>7</v>
      </c>
      <c r="Q34" s="14" t="s">
        <v>7</v>
      </c>
      <c r="R34" s="15" t="s">
        <v>258</v>
      </c>
      <c r="S34" s="14" t="s">
        <v>259</v>
      </c>
    </row>
    <row r="35" ht="43.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</sheetData>
  <mergeCells count="2">
    <mergeCell ref="A1:S1"/>
    <mergeCell ref="A2:S2"/>
  </mergeCells>
  <conditionalFormatting sqref="G4:G35">
    <cfRule type="expression" dxfId="5" priority="1">
      <formula>ISNUMBER(SEARCH("To create",G4))</formula>
    </cfRule>
  </conditionalFormatting>
  <conditionalFormatting sqref="G4:G35">
    <cfRule type="expression" dxfId="6" priority="2">
      <formula>ISNUMBER(SEARCH("Historical",G4))</formula>
    </cfRule>
  </conditionalFormatting>
  <conditionalFormatting sqref="G4:G35">
    <cfRule type="expression" dxfId="7" priority="3">
      <formula>ISNUMBER(SEARCH("Archive",G4))</formula>
    </cfRule>
  </conditionalFormatting>
  <conditionalFormatting sqref="G4:G35">
    <cfRule type="expression" dxfId="8" priority="4">
      <formula>ISNUMBER(SEARCH("update required",G4))</formula>
    </cfRule>
  </conditionalFormatting>
  <conditionalFormatting sqref="H4:H35">
    <cfRule type="expression" dxfId="9" priority="5">
      <formula>H4="authoritative"</formula>
    </cfRule>
  </conditionalFormatting>
  <conditionalFormatting sqref="H4:H35">
    <cfRule type="expression" dxfId="6" priority="6">
      <formula>H4="reference_only"</formula>
    </cfRule>
  </conditionalFormatting>
  <conditionalFormatting sqref="H4:H35">
    <cfRule type="expression" dxfId="10" priority="7">
      <formula>H4="unverified"</formula>
    </cfRule>
  </conditionalFormatting>
  <conditionalFormatting sqref="Q4:Q35">
    <cfRule type="expression" dxfId="10" priority="8">
      <formula>Q4="Yes"</formula>
    </cfRule>
  </conditionalFormatting>
  <conditionalFormatting sqref="O4:O35">
    <cfRule type="expression" dxfId="11" priority="9">
      <formula>O4="Yes"</formula>
    </cfRule>
  </conditionalFormatting>
  <conditionalFormatting sqref="C4:C34">
    <cfRule type="expression" dxfId="12" priority="10">
      <formula>C4=""</formula>
    </cfRule>
  </conditionalFormatting>
  <dataValidations>
    <dataValidation type="list" allowBlank="1" sqref="H4:H34">
      <formula1>'Controlled Lists'!$C$2:$C$5</formula1>
    </dataValidation>
    <dataValidation type="list" allowBlank="1" sqref="D4:D34">
      <formula1>'Controlled Lists'!$A$2:$A$9</formula1>
    </dataValidation>
    <dataValidation type="list" allowBlank="1" sqref="G4:G34">
      <formula1>'Controlled Lists'!$B$2:$B$14</formula1>
    </dataValidation>
    <dataValidation type="list" allowBlank="1" sqref="N4:Q34">
      <formula1>'Controlled Lists'!$D$2:$D$5</formula1>
    </dataValidation>
  </dataValidations>
  <hyperlinks>
    <hyperlink r:id="rId1" ref="C5"/>
    <hyperlink r:id="rId2" ref="C6"/>
    <hyperlink r:id="rId3" ref="C7"/>
    <hyperlink r:id="rId4" ref="C8"/>
    <hyperlink r:id="rId5" ref="C9"/>
    <hyperlink r:id="rId6" ref="C10"/>
    <hyperlink r:id="rId7" ref="C11"/>
    <hyperlink r:id="rId8" ref="C12"/>
    <hyperlink r:id="rId9" ref="C13"/>
    <hyperlink r:id="rId10" ref="C14"/>
    <hyperlink r:id="rId11" ref="C15"/>
    <hyperlink r:id="rId12" ref="C16"/>
    <hyperlink r:id="rId13" ref="C17"/>
    <hyperlink r:id="rId14" ref="C19"/>
    <hyperlink r:id="rId15" ref="C21"/>
    <hyperlink r:id="rId16" ref="C23"/>
    <hyperlink r:id="rId17" ref="C24"/>
    <hyperlink r:id="rId18" ref="C25"/>
    <hyperlink r:id="rId19" ref="C26"/>
    <hyperlink r:id="rId20" ref="C27"/>
    <hyperlink r:id="rId21" ref="C28"/>
    <hyperlink r:id="rId22" ref="C29"/>
    <hyperlink r:id="rId23" ref="C31"/>
    <hyperlink r:id="rId24" ref="C33"/>
    <hyperlink r:id="rId25" ref="C34"/>
  </hyperlinks>
  <printOptions/>
  <pageMargins bottom="0.75" footer="0.0" header="0.0" left="0.7" right="0.7" top="0.75"/>
  <pageSetup orientation="landscape"/>
  <drawing r:id="rId26"/>
  <tableParts count="1">
    <tablePart r:id="rId2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4.0"/>
    <col customWidth="1" min="3" max="3" width="20.0"/>
    <col customWidth="1" min="4" max="4" width="24.0"/>
    <col customWidth="1" min="5" max="5" width="14.0"/>
    <col customWidth="1" min="6" max="6" width="20.0"/>
    <col customWidth="1" min="7" max="7" width="30.0"/>
    <col customWidth="1" min="8" max="8" width="14.0"/>
    <col customWidth="1" min="9" max="26" width="8.63"/>
  </cols>
  <sheetData>
    <row r="1" ht="31.5" customHeight="1">
      <c r="A1" s="6" t="s">
        <v>36</v>
      </c>
    </row>
    <row r="2" ht="24.0" customHeight="1">
      <c r="A2" s="7" t="s">
        <v>37</v>
      </c>
    </row>
    <row r="4">
      <c r="A4" s="8" t="s">
        <v>38</v>
      </c>
      <c r="D4" s="8" t="s">
        <v>39</v>
      </c>
      <c r="G4" s="8" t="s">
        <v>40</v>
      </c>
    </row>
    <row r="5">
      <c r="A5" s="9">
        <f>COUNTA(Inventory!A4:A34)</f>
        <v>31</v>
      </c>
      <c r="B5" s="10"/>
      <c r="D5" s="9">
        <f>COUNTBLANK(Inventory!C4:C34)</f>
        <v>1</v>
      </c>
      <c r="E5" s="10"/>
      <c r="G5" s="9">
        <f>COUNTIF(Inventory!Q4:Q34,"Yes")</f>
        <v>30</v>
      </c>
      <c r="H5" s="10"/>
    </row>
    <row r="6">
      <c r="A6" s="11"/>
      <c r="B6" s="12"/>
      <c r="D6" s="11"/>
      <c r="E6" s="12"/>
      <c r="G6" s="11"/>
      <c r="H6" s="12"/>
    </row>
    <row r="9">
      <c r="A9" s="1" t="s">
        <v>0</v>
      </c>
      <c r="B9" s="1" t="s">
        <v>41</v>
      </c>
      <c r="C9" s="3"/>
      <c r="D9" s="1" t="s">
        <v>2</v>
      </c>
      <c r="E9" s="1" t="s">
        <v>41</v>
      </c>
      <c r="F9" s="3"/>
      <c r="G9" s="1" t="s">
        <v>42</v>
      </c>
      <c r="H9" s="1" t="s">
        <v>41</v>
      </c>
    </row>
    <row r="10">
      <c r="A10" s="2" t="s">
        <v>4</v>
      </c>
      <c r="B10" s="3">
        <f>COUNTIF(Inventory!$D$4:$D$34,A10)</f>
        <v>4</v>
      </c>
      <c r="C10" s="3"/>
      <c r="D10" s="3" t="s">
        <v>6</v>
      </c>
      <c r="E10" s="3">
        <f>COUNTIF(Inventory!$H$4:$H$34,D10)</f>
        <v>18</v>
      </c>
      <c r="F10" s="3"/>
      <c r="G10" s="3" t="s">
        <v>43</v>
      </c>
      <c r="H10" s="3">
        <f>COUNTIF(Inventory!$P$4:$P$34,"Yes")</f>
        <v>30</v>
      </c>
    </row>
    <row r="11">
      <c r="A11" s="2" t="s">
        <v>8</v>
      </c>
      <c r="B11" s="3">
        <f>COUNTIF(Inventory!$D$4:$D$34,A11)</f>
        <v>7</v>
      </c>
      <c r="C11" s="3"/>
      <c r="D11" s="3" t="s">
        <v>10</v>
      </c>
      <c r="E11" s="3">
        <f>COUNTIF(Inventory!$H$4:$H$34,D11)</f>
        <v>11</v>
      </c>
      <c r="F11" s="3"/>
      <c r="G11" s="3" t="s">
        <v>44</v>
      </c>
      <c r="H11" s="3">
        <f>COUNTIF(Inventory!$O$4:$O$34,"Yes")</f>
        <v>2</v>
      </c>
    </row>
    <row r="12">
      <c r="A12" s="2" t="s">
        <v>12</v>
      </c>
      <c r="B12" s="3">
        <f>COUNTIF(Inventory!$D$4:$D$34,A12)</f>
        <v>1</v>
      </c>
      <c r="C12" s="3"/>
      <c r="D12" s="3" t="s">
        <v>14</v>
      </c>
      <c r="E12" s="3">
        <f>COUNTIF(Inventory!$H$4:$H$34,D12)</f>
        <v>1</v>
      </c>
      <c r="F12" s="3"/>
      <c r="G12" s="3" t="s">
        <v>47</v>
      </c>
      <c r="H12" s="3">
        <f>COUNTIF(Inventory!$N$4:$N$34,"Yes")</f>
        <v>4</v>
      </c>
    </row>
    <row r="13">
      <c r="A13" s="2" t="s">
        <v>16</v>
      </c>
      <c r="B13" s="3">
        <f>COUNTIF(Inventory!$D$4:$D$34,A13)</f>
        <v>3</v>
      </c>
      <c r="C13" s="3"/>
      <c r="D13" s="3" t="s">
        <v>18</v>
      </c>
      <c r="E13" s="3">
        <f>COUNTIF(Inventory!$H$4:$H$34,D13)</f>
        <v>1</v>
      </c>
      <c r="F13" s="3"/>
      <c r="G13" s="3" t="s">
        <v>50</v>
      </c>
      <c r="H13" s="3">
        <f>COUNTIF(Inventory!$H$4:$H$34,"authoritative")</f>
        <v>18</v>
      </c>
    </row>
    <row r="14">
      <c r="A14" s="2" t="s">
        <v>20</v>
      </c>
      <c r="B14" s="3">
        <f>COUNTIF(Inventory!$D$4:$D$34,A14)</f>
        <v>4</v>
      </c>
      <c r="C14" s="3"/>
      <c r="D14" s="3"/>
      <c r="E14" s="3"/>
      <c r="F14" s="3"/>
      <c r="G14" s="3" t="s">
        <v>55</v>
      </c>
      <c r="H14" s="3">
        <f>COUNTIF(Inventory!$H$4:$H$34,"reference_only")</f>
        <v>1</v>
      </c>
    </row>
    <row r="15">
      <c r="A15" s="2" t="s">
        <v>22</v>
      </c>
      <c r="B15" s="3">
        <f>COUNTIF(Inventory!$D$4:$D$34,A15)</f>
        <v>11</v>
      </c>
      <c r="C15" s="3"/>
      <c r="D15" s="3"/>
      <c r="E15" s="3"/>
      <c r="F15" s="3"/>
      <c r="G15" s="3"/>
      <c r="H15" s="3"/>
    </row>
    <row r="16">
      <c r="A16" s="2" t="s">
        <v>24</v>
      </c>
      <c r="B16" s="3">
        <f>COUNTIF(Inventory!$D$4:$D$34,A16)</f>
        <v>1</v>
      </c>
      <c r="C16" s="3"/>
      <c r="D16" s="3"/>
      <c r="E16" s="3"/>
      <c r="F16" s="3"/>
      <c r="G16" s="3"/>
      <c r="H16" s="3"/>
    </row>
    <row r="17">
      <c r="A17" s="2" t="s">
        <v>26</v>
      </c>
      <c r="B17" s="3">
        <f>COUNTIF(Inventory!$D$4:$D$34,A17)</f>
        <v>0</v>
      </c>
      <c r="C17" s="3"/>
      <c r="D17" s="3"/>
      <c r="E17" s="3"/>
      <c r="F17" s="3"/>
      <c r="G17" s="3"/>
      <c r="H17" s="3"/>
    </row>
    <row r="18">
      <c r="A18" s="3"/>
      <c r="B18" s="3"/>
      <c r="C18" s="3"/>
      <c r="D18" s="3"/>
      <c r="E18" s="3"/>
      <c r="F18" s="3"/>
      <c r="G18" s="3"/>
      <c r="H18" s="3"/>
    </row>
    <row r="20">
      <c r="A20" s="1" t="s">
        <v>62</v>
      </c>
    </row>
    <row r="21" ht="15.75" customHeight="1">
      <c r="A21" s="16" t="s">
        <v>63</v>
      </c>
      <c r="B21" s="17"/>
      <c r="C21" s="17"/>
      <c r="D21" s="17"/>
      <c r="E21" s="17"/>
      <c r="F21" s="17"/>
      <c r="G21" s="17"/>
      <c r="H21" s="10"/>
    </row>
    <row r="22" ht="15.75" customHeight="1">
      <c r="A22" s="18"/>
      <c r="H22" s="19"/>
    </row>
    <row r="23" ht="15.75" customHeight="1">
      <c r="A23" s="18"/>
      <c r="H23" s="19"/>
    </row>
    <row r="24" ht="15.75" customHeight="1">
      <c r="A24" s="18"/>
      <c r="H24" s="19"/>
    </row>
    <row r="25" ht="15.75" customHeight="1">
      <c r="A25" s="18"/>
      <c r="H25" s="19"/>
    </row>
    <row r="26" ht="15.75" customHeight="1">
      <c r="A26" s="11"/>
      <c r="B26" s="20"/>
      <c r="C26" s="20"/>
      <c r="D26" s="20"/>
      <c r="E26" s="20"/>
      <c r="F26" s="20"/>
      <c r="G26" s="20"/>
      <c r="H26" s="12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G5:H6"/>
    <mergeCell ref="A20:H20"/>
    <mergeCell ref="A21:H26"/>
    <mergeCell ref="A1:H1"/>
    <mergeCell ref="A2:H2"/>
    <mergeCell ref="A4:B4"/>
    <mergeCell ref="D4:E4"/>
    <mergeCell ref="G4:H4"/>
    <mergeCell ref="A5:B6"/>
    <mergeCell ref="D5:E6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34.0"/>
    <col customWidth="1" min="5" max="26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</row>
    <row r="2">
      <c r="A2" s="2" t="s">
        <v>4</v>
      </c>
      <c r="B2" s="3" t="s">
        <v>5</v>
      </c>
      <c r="C2" s="3" t="s">
        <v>6</v>
      </c>
      <c r="D2" s="3" t="s">
        <v>7</v>
      </c>
    </row>
    <row r="3">
      <c r="A3" s="2" t="s">
        <v>8</v>
      </c>
      <c r="B3" s="2" t="s">
        <v>9</v>
      </c>
      <c r="C3" s="3" t="s">
        <v>10</v>
      </c>
      <c r="D3" s="3" t="s">
        <v>11</v>
      </c>
    </row>
    <row r="4">
      <c r="A4" s="2" t="s">
        <v>12</v>
      </c>
      <c r="B4" s="2" t="s">
        <v>13</v>
      </c>
      <c r="C4" s="3" t="s">
        <v>14</v>
      </c>
      <c r="D4" s="3" t="s">
        <v>15</v>
      </c>
    </row>
    <row r="5">
      <c r="A5" s="2" t="s">
        <v>16</v>
      </c>
      <c r="B5" s="2" t="s">
        <v>17</v>
      </c>
      <c r="C5" s="3" t="s">
        <v>18</v>
      </c>
      <c r="D5" s="3" t="s">
        <v>19</v>
      </c>
    </row>
    <row r="6">
      <c r="A6" s="2" t="s">
        <v>20</v>
      </c>
      <c r="B6" s="3" t="s">
        <v>21</v>
      </c>
      <c r="C6" s="3"/>
      <c r="D6" s="3"/>
    </row>
    <row r="7">
      <c r="A7" s="2" t="s">
        <v>22</v>
      </c>
      <c r="B7" s="2" t="s">
        <v>23</v>
      </c>
      <c r="C7" s="3"/>
      <c r="D7" s="3"/>
    </row>
    <row r="8">
      <c r="A8" s="2" t="s">
        <v>24</v>
      </c>
      <c r="B8" s="2" t="s">
        <v>25</v>
      </c>
      <c r="C8" s="3"/>
      <c r="D8" s="3"/>
    </row>
    <row r="9">
      <c r="A9" s="2" t="s">
        <v>26</v>
      </c>
      <c r="B9" s="3" t="s">
        <v>27</v>
      </c>
      <c r="C9" s="3"/>
      <c r="D9" s="3"/>
    </row>
    <row r="10">
      <c r="A10" s="3"/>
      <c r="B10" s="2" t="s">
        <v>29</v>
      </c>
      <c r="C10" s="3"/>
      <c r="D10" s="3"/>
    </row>
    <row r="11">
      <c r="A11" s="3"/>
      <c r="B11" s="2" t="s">
        <v>30</v>
      </c>
      <c r="C11" s="3"/>
      <c r="D11" s="3"/>
    </row>
    <row r="12">
      <c r="A12" s="3"/>
      <c r="B12" s="2" t="s">
        <v>31</v>
      </c>
      <c r="C12" s="3"/>
      <c r="D12" s="3"/>
    </row>
    <row r="13">
      <c r="A13" s="3"/>
      <c r="B13" s="3" t="s">
        <v>32</v>
      </c>
      <c r="C13" s="3"/>
      <c r="D13" s="3"/>
    </row>
    <row r="14">
      <c r="A14" s="3"/>
      <c r="B14" s="3" t="s">
        <v>34</v>
      </c>
      <c r="C14" s="3"/>
      <c r="D14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