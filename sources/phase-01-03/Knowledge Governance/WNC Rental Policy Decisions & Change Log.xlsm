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ecision Log" sheetId="1" r:id="rId4"/>
    <sheet state="visible" name="Open Decisions" sheetId="2" r:id="rId5"/>
    <sheet state="visible" name="Overview" sheetId="3" r:id="rId6"/>
    <sheet state="visible" name="Controlled Lists" sheetId="4" r:id="rId7"/>
  </sheets>
  <definedNames/>
  <calcPr/>
  <extLst>
    <ext uri="GoogleSheetsCustomDataVersion2">
      <go:sheetsCustomData xmlns:go="http://customooxmlschemas.google.com/" r:id="rId8" roundtripDataChecksum="K3ekJ2dv7Lz4QoiHbh3z6m5N2LGnQTvniwT19zZDYoI="/>
    </ext>
  </extLst>
</workbook>
</file>

<file path=xl/sharedStrings.xml><?xml version="1.0" encoding="utf-8"?>
<sst xmlns="http://schemas.openxmlformats.org/spreadsheetml/2006/main" count="750" uniqueCount="429">
  <si>
    <t>Phase 2 Policy Governance Overview</t>
  </si>
  <si>
    <t>Update completed</t>
  </si>
  <si>
    <t>Open-decision status</t>
  </si>
  <si>
    <t>Date entry guidance</t>
  </si>
  <si>
    <t>Decision-maker guidance</t>
  </si>
  <si>
    <t>No</t>
  </si>
  <si>
    <t>Open</t>
  </si>
  <si>
    <t>Use YYYY-MM-DD once confirmed</t>
  </si>
  <si>
    <t>Use accountable role or named person</t>
  </si>
  <si>
    <t>Partial</t>
  </si>
  <si>
    <t>Metric</t>
  </si>
  <si>
    <t>In review</t>
  </si>
  <si>
    <t>Do not invent retrospective dates</t>
  </si>
  <si>
    <t>Do not use historical email sender as decision-maker unless verified</t>
  </si>
  <si>
    <t>Yes</t>
  </si>
  <si>
    <t>Approved</t>
  </si>
  <si>
    <t>Use formal ratification date if original date is unknown</t>
  </si>
  <si>
    <t>Separate proposer from approver where needed</t>
  </si>
  <si>
    <t>Not applicable</t>
  </si>
  <si>
    <t>Closed</t>
  </si>
  <si>
    <t>Keep TBC only until governance review</t>
  </si>
  <si>
    <t>Count</t>
  </si>
  <si>
    <t>Management confirmation should be explicit</t>
  </si>
  <si>
    <t>Open-decision metric</t>
  </si>
  <si>
    <t>Canonical decisions</t>
  </si>
  <si>
    <t>Open decisions</t>
  </si>
  <si>
    <t>Updates completed</t>
  </si>
  <si>
    <t>Open Decisions &amp; Management Confirmations</t>
  </si>
  <si>
    <t>WNC Rental Policy Decisions &amp; Change Log</t>
  </si>
  <si>
    <t>These topics are not authoritative rules yet. Resolve and then add the approved decision to the Decision Log.</t>
  </si>
  <si>
    <t>Controlled record of canonical rental-policy decisions. Blank or TBC dates and decision-makers must be completed during governance review.</t>
  </si>
  <si>
    <t>Updates partially completed</t>
  </si>
  <si>
    <t>Open ID</t>
  </si>
  <si>
    <t>Decision ID</t>
  </si>
  <si>
    <t>Topic</t>
  </si>
  <si>
    <t>Current ambiguity</t>
  </si>
  <si>
    <t>Previous ambiguity</t>
  </si>
  <si>
    <t>Decision required</t>
  </si>
  <si>
    <t>Final decision</t>
  </si>
  <si>
    <t>Suggested decision-maker</t>
  </si>
  <si>
    <t>Decision-maker</t>
  </si>
  <si>
    <t>Target date</t>
  </si>
  <si>
    <t>Updates not completed</t>
  </si>
  <si>
    <t>Decision date</t>
  </si>
  <si>
    <t>Affected documents</t>
  </si>
  <si>
    <t>Status</t>
  </si>
  <si>
    <t>Effective date</t>
  </si>
  <si>
    <t>Notes</t>
  </si>
  <si>
    <t>Documents requiring update</t>
  </si>
  <si>
    <t>OPEN-001</t>
  </si>
  <si>
    <t>Booking-fee waiver criteria</t>
  </si>
  <si>
    <t>DEC-001</t>
  </si>
  <si>
    <t>The designated rental point of contact may waive the fee, but no consistent internal criteria exist.</t>
  </si>
  <si>
    <t>Rental confirmation</t>
  </si>
  <si>
    <t>Define when a booking fee is normally waived and whether approval must be recorded.</t>
  </si>
  <si>
    <t>How to use this workbook</t>
  </si>
  <si>
    <t>It was unclear whether the date was secured by signing an agreement, receiving verbal approval, or receiving payment.</t>
  </si>
  <si>
    <t>WNC rental lead / management</t>
  </si>
  <si>
    <t>TBC</t>
  </si>
  <si>
    <t>A rental is confirmed once WNC has received at least the 30% confirmation deposit.</t>
  </si>
  <si>
    <t>1</t>
  </si>
  <si>
    <t>WNC Rental Pricing, Fees &amp; Payment Rules; Operations Manual; Proposal Templates</t>
  </si>
  <si>
    <t>TBC: decision already recorded</t>
  </si>
  <si>
    <t>Record new final policy choices in the Decision Log.</t>
  </si>
  <si>
    <t>2</t>
  </si>
  <si>
    <t>Enter the accountable decision-maker and decision date; do not leave governance fields as TBC.</t>
  </si>
  <si>
    <t>Upon controlled-document publication</t>
  </si>
  <si>
    <t>3</t>
  </si>
  <si>
    <t>List every controlled document affected by the decision.</t>
  </si>
  <si>
    <t>OPEN-002</t>
  </si>
  <si>
    <t>Updated Rental Lookbook 2026; Studio Rental Terms; Full Venue Rental Terms; WNC Rental Agreement Template; WNC Rental Pricing, Fees &amp; Payment Rules</t>
  </si>
  <si>
    <t>4</t>
  </si>
  <si>
    <t>Expedited-surcharge waiver criteria</t>
  </si>
  <si>
    <t>Change Update completed from No → Partial → Yes as each source is aligned.</t>
  </si>
  <si>
    <t>WNC may waive the fee, but the situations and approval trail are undefined.</t>
  </si>
  <si>
    <t>5</t>
  </si>
  <si>
    <t>Keep unresolved topics in Open Decisions until formally approved.</t>
  </si>
  <si>
    <t>Define acceptable reasons, approval authority and documentation for a waiver.</t>
  </si>
  <si>
    <t>Canonical Phase 2 rule. The deposit, not the final Rental Agreement, secures the date.</t>
  </si>
  <si>
    <t>6</t>
  </si>
  <si>
    <t>Do not treat historical cases as current authority.</t>
  </si>
  <si>
    <t>DEC-002</t>
  </si>
  <si>
    <t>Acceptance of Terms and Conditions</t>
  </si>
  <si>
    <t>The point at which the client legally accepts the applicable rental terms was not stated consistently.</t>
  </si>
  <si>
    <t>Payment of the confirmation deposit constitutes acceptance of the applicable Terms and Conditions.</t>
  </si>
  <si>
    <t>OPEN-003</t>
  </si>
  <si>
    <t>Custom security-deposit matrix</t>
  </si>
  <si>
    <t>Custom deposits are decided manually with no documented risk factors.</t>
  </si>
  <si>
    <t>Define a risk matrix using event type, duration, production complexity, alcohol, attendance, installations, supplier access and prior client history.</t>
  </si>
  <si>
    <t>WNC management</t>
  </si>
  <si>
    <t>Client-facing wording should remain simple and consistent.</t>
  </si>
  <si>
    <t>DEC-003</t>
  </si>
  <si>
    <t>WNC Rental Pricing, Fees &amp; Payment Rules; Full Venue Rental Terms; Rental Agreement Template</t>
  </si>
  <si>
    <t>Final Rental Agreement timing</t>
  </si>
  <si>
    <t>Historical agreements were sometimes treated as the document that initially secured the booking.</t>
  </si>
  <si>
    <t>OPEN-004</t>
  </si>
  <si>
    <t>One final Rental Agreement is issued after scope, timings, fees and responsibilities are finalised; it does not initially secure the date.</t>
  </si>
  <si>
    <t>Host staffing requirements</t>
  </si>
  <si>
    <t>Two hosts are specified for full-production clearing, but broader staffing rules are not controlled.</t>
  </si>
  <si>
    <t>Define when zero, one or two hosts are mandatory and what each staffing level includes.</t>
  </si>
  <si>
    <t>Operations manager</t>
  </si>
  <si>
    <t>Studio Rental Terms; Full Venue Rental Terms; WNC Rental Agreement Template; Proposal Templates; Email Template Library</t>
  </si>
  <si>
    <t>Operations Manual; Services Catalogue; Proposal Templates; Handover Checklist</t>
  </si>
  <si>
    <t>The universal controlled agreement template still needs to be created.</t>
  </si>
  <si>
    <t>OPEN-005</t>
  </si>
  <si>
    <t>DEC-004</t>
  </si>
  <si>
    <t>Insurance requirement</t>
  </si>
  <si>
    <t>Upfront payment options</t>
  </si>
  <si>
    <t>Insurance is mentioned in terms, but the trigger is unclear.</t>
  </si>
  <si>
    <t>It was unclear whether clients must pay only a deposit or the full amount.</t>
  </si>
  <si>
    <t>Define when event or public-liability insurance is mandatory and what evidence is required.</t>
  </si>
  <si>
    <t>Clients may pay either 30% or 100% upfront.</t>
  </si>
  <si>
    <t>WNC management / legal review</t>
  </si>
  <si>
    <t>Full Venue Rental Terms; Studio Rental Terms; Rental Agreement Template; Final Readiness Checklist</t>
  </si>
  <si>
    <t>Updated Rental Lookbook 2026; Studio Rental Terms; Full Venue Rental Terms; WNC Rental Agreement Template; WNC Rental Pricing, Fees &amp; Payment Rules; Proposal Templates; WNC Rental Email Template Library</t>
  </si>
  <si>
    <t>OPEN-006</t>
  </si>
  <si>
    <t>Mandatory cleaning</t>
  </si>
  <si>
    <t>Cleaning can be charged, but it is unclear when pre-arranged professional cleaning is required.</t>
  </si>
  <si>
    <t>DEC-005</t>
  </si>
  <si>
    <t>Remaining balance deadline</t>
  </si>
  <si>
    <t>The due date for the remaining balance was inconsistent across historical examples.</t>
  </si>
  <si>
    <t>Define which event types, durations or activities require cleaning to be booked in advance.</t>
  </si>
  <si>
    <t>When 30% is paid upfront, the remaining 70% is due 14 days before the rental date.</t>
  </si>
  <si>
    <t>Operations Manual; Services Catalogue; Proposal Templates; Final Readiness Checklist</t>
  </si>
  <si>
    <t>OPEN-007</t>
  </si>
  <si>
    <t>Preferred suppliers</t>
  </si>
  <si>
    <t>DEC-006</t>
  </si>
  <si>
    <t>Historical cases contain suppliers, but no current preferred list has been approved.</t>
  </si>
  <si>
    <t>Confirmation payment for bookings under 30 days</t>
  </si>
  <si>
    <t>Approve preferred, acceptable and restricted suppliers by service category.</t>
  </si>
  <si>
    <t>Last-minute payment deadlines were not separated by booking lead time.</t>
  </si>
  <si>
    <t>Bookings made fewer than 30 days before the rental require the confirmation payment within three days.</t>
  </si>
  <si>
    <t>Catering, Beverage &amp; Supplier Catalogue; Operations Manual</t>
  </si>
  <si>
    <t>OPEN-008</t>
  </si>
  <si>
    <t>Venue-clearing lead time</t>
  </si>
  <si>
    <t>Bookings within 14 days follow the stricter 24-hour rule in DEC-007.</t>
  </si>
  <si>
    <t>The realistic preparation time for clearing the venue is not documented.</t>
  </si>
  <si>
    <t>DEC-007</t>
  </si>
  <si>
    <t>Define minimum lead time and operational prerequisites for partial and full venue clearing.</t>
  </si>
  <si>
    <t>Confirmation payment for bookings within 14 days</t>
  </si>
  <si>
    <t>The payment deadline for urgent bookings was not consistently defined.</t>
  </si>
  <si>
    <t>Bookings within 14 days of the rental require payment within 24 hours.</t>
  </si>
  <si>
    <t>Operations Manual; Services Catalogue; Discovery Call Checklist; Proposal Templates</t>
  </si>
  <si>
    <t>OPEN-009</t>
  </si>
  <si>
    <t>Site-visit requirement</t>
  </si>
  <si>
    <t>There is no controlled trigger for when a site visit is mandatory.</t>
  </si>
  <si>
    <t>Define which event sizes, installations, production scopes or supplier setups require a site visit.</t>
  </si>
  <si>
    <t>DEC-008</t>
  </si>
  <si>
    <t>WNC rental lead / operations</t>
  </si>
  <si>
    <t>Studio booking fee: 1–3 hours</t>
  </si>
  <si>
    <t>Operations Manual; Discovery Call Checklist; Site Visit Checklist; Final Readiness Checklist</t>
  </si>
  <si>
    <t>Booking-fee amounts varied across documents and examples.</t>
  </si>
  <si>
    <t>The studio booking fee for 1–3 hours is €50 excluding VAT.</t>
  </si>
  <si>
    <t>OPEN-010</t>
  </si>
  <si>
    <t>Discovery call sufficiency</t>
  </si>
  <si>
    <t>Some inquiries may be handled by email, while others need a call.</t>
  </si>
  <si>
    <t>Define when a discovery call is sufficient and when escalation to a site visit is required.</t>
  </si>
  <si>
    <t>WNC rental lead</t>
  </si>
  <si>
    <t>Discovery Call Checklist; Operations Manual; Email Template Library</t>
  </si>
  <si>
    <t>DEC-009</t>
  </si>
  <si>
    <t>OPEN-011</t>
  </si>
  <si>
    <t>Unsuitable event types</t>
  </si>
  <si>
    <t>Studio booking fee: 4–8 hours</t>
  </si>
  <si>
    <t>No controlled exclusion list exists.</t>
  </si>
  <si>
    <t>Define events WNC will not host or will host only with special approval.</t>
  </si>
  <si>
    <t>The studio booking fee for 4–8 hours is €75 excluding VAT.</t>
  </si>
  <si>
    <t>Operations Manual; Terms; Lookbook; Inquiry Form; Email Template Library</t>
  </si>
  <si>
    <t>OPEN-012</t>
  </si>
  <si>
    <t>Approval for unusual materials and installations</t>
  </si>
  <si>
    <t>Terms mention installations and restricted materials but approval authority is not clear.</t>
  </si>
  <si>
    <t>Define who may approve candles, adhesives, paint, suspended items, exterior signage, heavy equipment and other unusual installations.</t>
  </si>
  <si>
    <t>Operations manager / management</t>
  </si>
  <si>
    <t>DEC-010</t>
  </si>
  <si>
    <t>Operations Manual; Full Venue Rental Terms; Studio Rental Terms; Site Visit Checklist; Final Readiness Checklist</t>
  </si>
  <si>
    <t>Entire-venue booking fee: 1–3 hours</t>
  </si>
  <si>
    <t>OPEN-013</t>
  </si>
  <si>
    <t>The entire-venue booking fee for 1–3 hours is €100 excluding VAT.</t>
  </si>
  <si>
    <t>Definition of light support</t>
  </si>
  <si>
    <t>The decision log states exclusions, but the positive included tasks need a controlled definition.</t>
  </si>
  <si>
    <t>Define the exact tasks and limits included in light venue support.</t>
  </si>
  <si>
    <t>Services Catalogue; Operations Manual; Proposal Templates; Rental Agreement Template</t>
  </si>
  <si>
    <t>OPEN-014</t>
  </si>
  <si>
    <t>Definition of event management</t>
  </si>
  <si>
    <t>Event management is listed as a service but has no controlled scope.</t>
  </si>
  <si>
    <t>Define responsibilities, staffing, deliverables and exclusions for event management.</t>
  </si>
  <si>
    <t>DEC-011</t>
  </si>
  <si>
    <t>WNC management / rental lead</t>
  </si>
  <si>
    <t>Entire-venue booking fee: 4–7 hours</t>
  </si>
  <si>
    <t>Services Catalogue; Full Production Proposal Template; Rental Agreement Template</t>
  </si>
  <si>
    <t>The entire-venue booking fee for 4–7 hours is €250 excluding VAT.</t>
  </si>
  <si>
    <t>OPEN-015</t>
  </si>
  <si>
    <t>Required final information at 14 days</t>
  </si>
  <si>
    <t>The balance is due at 14 days, but the operational information due at that point is not defined.</t>
  </si>
  <si>
    <t>Define the final guest count, schedule, supplier list, access plan, floor plan, dietary needs, branding, technical and staffing details required.</t>
  </si>
  <si>
    <t>Operations manager / rental lead</t>
  </si>
  <si>
    <t>Operations Manual; Event Handover Checklist; Final Readiness Checklist; Rental Agreement Template</t>
  </si>
  <si>
    <t>DEC-012</t>
  </si>
  <si>
    <t>Entire-venue full-day booking fee</t>
  </si>
  <si>
    <t>It was unclear whether a separate booking fee applies to full-day entire-venue rentals.</t>
  </si>
  <si>
    <t>OPEN-016</t>
  </si>
  <si>
    <t>No booking fee applies to a full-day entire-venue rental.</t>
  </si>
  <si>
    <t>Last-minute client changes</t>
  </si>
  <si>
    <t>No controlled rule defines accepted changes, re-quoting, additional fees or refusal rights.</t>
  </si>
  <si>
    <t>Define how changes inside 14 days are assessed, approved, priced and documented.</t>
  </si>
  <si>
    <t>Terms; Rental Agreement Template; Pricing Rules; Operations Manual; Email Template Library</t>
  </si>
  <si>
    <t>OPEN-017</t>
  </si>
  <si>
    <t>DEC-013</t>
  </si>
  <si>
    <t>Booking-fee refundability</t>
  </si>
  <si>
    <t>Full-production pricing methodology</t>
  </si>
  <si>
    <t>Some wording did not clearly separate booking fees from refundable rental payments.</t>
  </si>
  <si>
    <t>Full-production pricing is manual and TBC.</t>
  </si>
  <si>
    <t>Approve a pricing method, minimum fee, coordination margin and treatment of third-party markups before automation.</t>
  </si>
  <si>
    <t>Any applicable booking fee is non-refundable.</t>
  </si>
  <si>
    <t>WNC Rental Pricing, Fees &amp; Payment Rules; Services Catalogue; Full Production Proposal Template</t>
  </si>
  <si>
    <t>OPEN-018</t>
  </si>
  <si>
    <t>Decision ownership and retrospective dates</t>
  </si>
  <si>
    <t>DEC-014</t>
  </si>
  <si>
    <t>The Phase 2 context records final rules without named decision-makers or decision dates.</t>
  </si>
  <si>
    <t>Booking-fee waiver</t>
  </si>
  <si>
    <t>Assign accountable decision-makers and enter the historical decision date or formal ratification date for each canonical rule.</t>
  </si>
  <si>
    <t>There was no clear statement on whether the booking fee could be waived.</t>
  </si>
  <si>
    <t>The designated WNC rental point of contact may waive the booking fee. Client-facing wording only needs to say 'if applicable'.</t>
  </si>
  <si>
    <t>Required for complete governance and auditability.</t>
  </si>
  <si>
    <t>The informal criteria for waiving the fee remain an open management decision.</t>
  </si>
  <si>
    <t>DEC-015</t>
  </si>
  <si>
    <t>Expedited-booking trigger</t>
  </si>
  <si>
    <t>The expedited fee was not consistently tied to the confirmation date.</t>
  </si>
  <si>
    <t>The expedited-booking surcharge applies when the rental is confirmed within 14 days of the rental date.</t>
  </si>
  <si>
    <t>DEC-016</t>
  </si>
  <si>
    <t>Expedited-booking scope</t>
  </si>
  <si>
    <t>It was unclear whether the expedited fee applied only to certain rental types.</t>
  </si>
  <si>
    <t>The expedited-booking surcharge applies to all rental types and is mandatory by default, but may be waived at WNC's discretion.</t>
  </si>
  <si>
    <t>Internal waiver criteria remain pending confirmation.</t>
  </si>
  <si>
    <t>DEC-017</t>
  </si>
  <si>
    <t>Expedited-booking calculation</t>
  </si>
  <si>
    <t>The percentage base was not precisely defined.</t>
  </si>
  <si>
    <t>The surcharge equals 10% of the venue rental charge before VAT.</t>
  </si>
  <si>
    <t>DEC-018</t>
  </si>
  <si>
    <t>Expedited-booking exclusions</t>
  </si>
  <si>
    <t>It was unclear which additional charges were included in the 10% calculation.</t>
  </si>
  <si>
    <t>The 10% surcharge does not apply to the booking fee, security deposit, catering, facilitators, production or other additional services.</t>
  </si>
  <si>
    <t>DEC-019</t>
  </si>
  <si>
    <t>Expedited-booking VAT</t>
  </si>
  <si>
    <t>VAT treatment of the expedited surcharge was not consistently stated.</t>
  </si>
  <si>
    <t>The expedited-booking surcharge is subject to 21% VAT.</t>
  </si>
  <si>
    <t>DEC-020</t>
  </si>
  <si>
    <t>Cancellation more than 30 days before rental</t>
  </si>
  <si>
    <t>Refundable and non-refundable components were not consistently separated.</t>
  </si>
  <si>
    <t>Rental payments received are refundable, excluding the booking fee, production fees, production-coordination fees, non-recoverable third-party costs and committed goods, equipment, catering or services.</t>
  </si>
  <si>
    <t>DEC-021</t>
  </si>
  <si>
    <t>Production-fee refundability</t>
  </si>
  <si>
    <t>Historical documents did not consistently state when production fees became non-refundable.</t>
  </si>
  <si>
    <t>Production and production-coordination fees are non-refundable once agreed.</t>
  </si>
  <si>
    <t>Full Venue Rental Terms; WNC Rental Agreement Template; WNC Rental Pricing, Fees &amp; Payment Rules; Production Proposal Templates</t>
  </si>
  <si>
    <t>DEC-022</t>
  </si>
  <si>
    <t>Cancellation 30 days or fewer before rental</t>
  </si>
  <si>
    <t>Late-cancellation rules varied across documents and examples.</t>
  </si>
  <si>
    <t>All rental payments are non-refundable when cancellation occurs 30 days or fewer before the rental.</t>
  </si>
  <si>
    <t>DEC-023</t>
  </si>
  <si>
    <t>Third-party commitments after cancellation</t>
  </si>
  <si>
    <t>It was unclear whether client liability continued beyond amounts already paid.</t>
  </si>
  <si>
    <t>The client remains responsible for non-recoverable third-party costs or commitments incurred on their behalf.</t>
  </si>
  <si>
    <t>DEC-024</t>
  </si>
  <si>
    <t>Security-deposit refund deductions</t>
  </si>
  <si>
    <t>Permitted deductions were not consolidated into one rule.</t>
  </si>
  <si>
    <t>Security deposits are refundable unless deductions apply for damage, overtime, cleaning, waste, missing items, outstanding costs or other valid obligations.</t>
  </si>
  <si>
    <t>Studio Rental Terms; Full Venue Rental Terms; WNC Rental Agreement Template; WNC Rental Pricing, Fees &amp; Payment Rules; Security Deposit Deduction Record</t>
  </si>
  <si>
    <t>DEC-025</t>
  </si>
  <si>
    <t>VAT assignment method</t>
  </si>
  <si>
    <t>VAT was sometimes treated at proposal-total level rather than per component.</t>
  </si>
  <si>
    <t>VAT must be assigned per proposal line item.</t>
  </si>
  <si>
    <t>DEC-026</t>
  </si>
  <si>
    <t>VAT: 21% categories</t>
  </si>
  <si>
    <t>The VAT treatment of service and venue line items was not consolidated.</t>
  </si>
  <si>
    <t>Venue rental, booking fees, expedited surcharges, production, production coordination and catering coordination/service are subject to 21% VAT.</t>
  </si>
  <si>
    <t>DEC-027</t>
  </si>
  <si>
    <t>VAT: 9% food and beverage products</t>
  </si>
  <si>
    <t>Food products, beverage products and catering service were sometimes grouped together.</t>
  </si>
  <si>
    <t>Food and beverage products, including drinks purchased or sold as products, are subject to 9% VAT. Catering coordination/service remains 21%.</t>
  </si>
  <si>
    <t>DEC-028</t>
  </si>
  <si>
    <t>Facilitator cancellation charge trigger</t>
  </si>
  <si>
    <t>It was unclear when class cancellation costs should be charged to a rental client.</t>
  </si>
  <si>
    <t>When a rental is confirmed 30 days or fewer before the event and a scheduled class must be cancelled, the client pays the facilitator cancellation fee.</t>
  </si>
  <si>
    <t>Studio Rental Terms; Full Venue Rental Terms; WNC Rental Agreement Template; WNC Rental Pricing, Fees &amp; Payment Rules; Proposal Templates</t>
  </si>
  <si>
    <t>WNC guarantees facilitator payment for scheduled classes within 30 days of the class.</t>
  </si>
  <si>
    <t>DEC-029</t>
  </si>
  <si>
    <t>Facilitator cancellation charge rate</t>
  </si>
  <si>
    <t>Historical facilitator cancellation amounts were inconsistent.</t>
  </si>
  <si>
    <t>The standard facilitator cancellation charge is €45 per facilitator hour excluding VAT, normally for one to three class hours, and is added to the final client invoice.</t>
  </si>
  <si>
    <t>DEC-030</t>
  </si>
  <si>
    <t>Security deposit: studio</t>
  </si>
  <si>
    <t>Historical studio deposits varied.</t>
  </si>
  <si>
    <t>The standard security deposit for a studio-space rental is none.</t>
  </si>
  <si>
    <t>TBC: working guidance</t>
  </si>
  <si>
    <t>Working structure only; the full risk matrix remains pending.</t>
  </si>
  <si>
    <t>DEC-031</t>
  </si>
  <si>
    <t>Security deposit: one-day entire venue</t>
  </si>
  <si>
    <t>Historical one-day deposits varied.</t>
  </si>
  <si>
    <t>The standard security deposit for a one-day entire-venue rental is €500.</t>
  </si>
  <si>
    <t>DEC-032</t>
  </si>
  <si>
    <t>Security deposit: multi-day full production</t>
  </si>
  <si>
    <t>Historical multi-day deposits varied significantly.</t>
  </si>
  <si>
    <t>The standard security deposit for a multi-day full-production rental is €2,000.</t>
  </si>
  <si>
    <t>DEC-033</t>
  </si>
  <si>
    <t>Security deposit: custom scope</t>
  </si>
  <si>
    <t>There was no controlled method for unusual rental risk.</t>
  </si>
  <si>
    <t>Security deposits for other or custom scopes are set by manual decision.</t>
  </si>
  <si>
    <t>The criteria for the manual decision remain pending management confirmation.</t>
  </si>
  <si>
    <t>DEC-034</t>
  </si>
  <si>
    <t>Full-day entire-venue overtime: weekday</t>
  </si>
  <si>
    <t>Historical overtime rates varied.</t>
  </si>
  <si>
    <t>Weekday full-day entire-venue overtime is €400 per hour, billed in 15-minute increments.</t>
  </si>
  <si>
    <t>DEC-035</t>
  </si>
  <si>
    <t>Full-day entire-venue overtime: weekend</t>
  </si>
  <si>
    <t>Weekend full-day entire-venue overtime is €495 per hour, billed in 15-minute increments.</t>
  </si>
  <si>
    <t>DEC-036</t>
  </si>
  <si>
    <t>Studio overtime</t>
  </si>
  <si>
    <t>It was unclear whether a separate fixed overtime rate applied to studio rentals.</t>
  </si>
  <si>
    <t>Studio overtime is charged at the applicable studio hourly rate and billed in 15-minute increments.</t>
  </si>
  <si>
    <t>DEC-037</t>
  </si>
  <si>
    <t>WNC staff overtime</t>
  </si>
  <si>
    <t>Staff overtime was not consistently separated from venue overtime.</t>
  </si>
  <si>
    <t>WNC staff overtime is €35 per hour per WNC staff member where applicable.</t>
  </si>
  <si>
    <t>DEC-038</t>
  </si>
  <si>
    <t>Studio grace period</t>
  </si>
  <si>
    <t>The permitted time before and after studio rentals was not consistently worded.</t>
  </si>
  <si>
    <t>Studio rentals include 15 minutes before and 15 minutes after. Additional time is charged in 15-minute increments unless another arrangement is communicated.</t>
  </si>
  <si>
    <t>The client may use the grace period as needed; avoid overexplaining it in client-facing wording.</t>
  </si>
  <si>
    <t>DEC-039</t>
  </si>
  <si>
    <t>Legal whole-venue capacity</t>
  </si>
  <si>
    <t>Older documents and working assumptions contained lower or inconsistent venue capacities.</t>
  </si>
  <si>
    <t>The legal whole-venue capacity is 110 people.</t>
  </si>
  <si>
    <t>WNC Venue Rental Operations Manual; WNC Venue Technical &amp; Equipment Inventory; WNC Capacity &amp; Space Use Rules; Updated Rental Lookbook 2026; Studio Rental Terms; Full Venue Rental Terms; WNC Rental Agreement Template</t>
  </si>
  <si>
    <t>The updated lookbook already contains 110; all other controlled sources must be aligned.</t>
  </si>
  <si>
    <t>DEC-040</t>
  </si>
  <si>
    <t>Studio and retail capacities</t>
  </si>
  <si>
    <t>Capacity figures differed depending on event format and were not held in one controlled list.</t>
  </si>
  <si>
    <t>Studio capacities are 25 lying down, 20 movement, 40 seated and 40 standing. The store/bar standing capacity is 60.</t>
  </si>
  <si>
    <t>The updated lookbook already contains these figures; operational and technical sources still need alignment.</t>
  </si>
  <si>
    <t>DEC-041</t>
  </si>
  <si>
    <t>Standard equipment quantities</t>
  </si>
  <si>
    <t>Live equipment quantities were not recorded consistently.</t>
  </si>
  <si>
    <t>Standard quantities are 30 yoga mats, 30 meditation cushions and 30 eye masks.</t>
  </si>
  <si>
    <t>Updated Rental Lookbook 2026; WNC Venue Technical &amp; Equipment Inventory; WNC Venue Rental Operations Manual; Proposal Templates</t>
  </si>
  <si>
    <t>Exact quantities may still be confirmed for individual rentals.</t>
  </si>
  <si>
    <t>DEC-042</t>
  </si>
  <si>
    <t>Other available equipment</t>
  </si>
  <si>
    <t>Exact live quantities for blankets, glassware, furniture and cutlery were not confirmed.</t>
  </si>
  <si>
    <t>Blankets, glassware, furniture and cutlery are normally available, but exact live quantities are not yet required in the canonical rules.</t>
  </si>
  <si>
    <t>Updated Rental Lookbook 2026; WNC Venue Technical &amp; Equipment Inventory; WNC Venue Rental Operations Manual</t>
  </si>
  <si>
    <t>Operational inventory should later record actual quantities where useful.</t>
  </si>
  <si>
    <t>DEC-043</t>
  </si>
  <si>
    <t>Canonical space names</t>
  </si>
  <si>
    <t>Different documents used inconsistent room names.</t>
  </si>
  <si>
    <t>Canonical spaces are Studio Space, 1:1 / Podcast Room, Retail Area, Conversation Pit, Storage Room, Back Office, Hallway and Bathrooms.</t>
  </si>
  <si>
    <t>Update the Rental Data Dictionary and archive superseded names.</t>
  </si>
  <si>
    <t>DEC-044</t>
  </si>
  <si>
    <t>Ice Bath Room renaming</t>
  </si>
  <si>
    <t>The former Ice Bath Room name remained in older material despite the changed use of the space.</t>
  </si>
  <si>
    <t>The former Ice Bath Room is now called the Storage Room.</t>
  </si>
  <si>
    <t>WNC Venue Rental Operations Manual; WNC Venue Technical &amp; Equipment Inventory; WNC Capacity &amp; Space Use Rules; Updated Rental Lookbook 2026; Studio Rental Terms; Full Venue Rental Terms; WNC Rental Agreement Template; WNC Rental Data Dictionary; 99: Archive</t>
  </si>
  <si>
    <t>DEC-045</t>
  </si>
  <si>
    <t>Podcast Room and 1:1 Room identity</t>
  </si>
  <si>
    <t>The same physical room was described as two separate spaces.</t>
  </si>
  <si>
    <t>The Podcast Room and 1:1 Room are the same physical room and must be named 1:1 / Podcast Room.</t>
  </si>
  <si>
    <t>DEC-046</t>
  </si>
  <si>
    <t>1:1 / Podcast Room commercial treatment</t>
  </si>
  <si>
    <t>It was unclear whether the small room had a standard published rental price.</t>
  </si>
  <si>
    <t>The 1:1 / Podcast Room is treated as a custom-scope rental.</t>
  </si>
  <si>
    <t>Updated Rental Lookbook 2026; Studio Rental Terms; Full Venue Rental Terms; WNC Rental Agreement Template; WNC Rental Pricing, Fees &amp; Payment Rules; Proposal Templates</t>
  </si>
  <si>
    <t>Do not create a deterministic standard price until approved.</t>
  </si>
  <si>
    <t>DEC-047</t>
  </si>
  <si>
    <t>Full-production venue clearing</t>
  </si>
  <si>
    <t>The scope of clearing the venue and moving furniture was not consistently defined.</t>
  </si>
  <si>
    <t>For agreed full-production clearing, agreed movable furniture is moved into the Storage Room.</t>
  </si>
  <si>
    <t>WNC Rental Services Catalogue; Full Venue Rental Terms; WNC Rental Agreement Template; Proposal Templates; Event Handover Checklist; Final Readiness Checklist</t>
  </si>
  <si>
    <t>DEC-048</t>
  </si>
  <si>
    <t>Host support during venue clearing</t>
  </si>
  <si>
    <t>Historical cases blurred light venue support, event hosting and production management.</t>
  </si>
  <si>
    <t>Two WNC hosts provide light venue support for agreed full-production venue clearing. This does not automatically include guest management, event hosting, catering service or production management.</t>
  </si>
  <si>
    <t>The general rule for when one or two hosts are required remains pending.</t>
  </si>
  <si>
    <t>DEC-049</t>
  </si>
  <si>
    <t>Client reset responsibility</t>
  </si>
  <si>
    <t>Responsibility for restoring the venue after an event was not consistently stated.</t>
  </si>
  <si>
    <t>The client must leave the venue as it was handed over unless cleaning or reset support is separately agreed.</t>
  </si>
  <si>
    <t>DEC-050</t>
  </si>
  <si>
    <t>Additional cleaning charges</t>
  </si>
  <si>
    <t>Cleaning charges varied in historical cases and were not framed as a current range.</t>
  </si>
  <si>
    <t>Additional cleaning may be charged at approximately €75–€175 per hour excluding VAT, depending on the work required.</t>
  </si>
  <si>
    <t>Approximate range, not a deterministic fixed rate.</t>
  </si>
  <si>
    <t>DEC-051</t>
  </si>
  <si>
    <t>Production coordination scope</t>
  </si>
  <si>
    <t>Production coordination and full production were used interchangeably.</t>
  </si>
  <si>
    <t>Production coordination is logistics-focused and may include supplier, catering, furniture and equipment coordination, scheduling, load-in/load-out planning, vendor access and operational oversight.</t>
  </si>
  <si>
    <t>WNC Rental Services Catalogue; Full Venue Rental Terms; WNC Rental Agreement Template; Production Coordination Proposal Template; Email Template Library</t>
  </si>
  <si>
    <t>DEC-052</t>
  </si>
  <si>
    <t>Full production scope</t>
  </si>
  <si>
    <t>The distinction between coordination and creative/on-site production was unclear.</t>
  </si>
  <si>
    <t>Full production may include creative concept, experience design, styling, sourcing, installations, facilitator sourcing, supplier management, run-of-show, on-site production management, venue clearing and reset coordination.</t>
  </si>
  <si>
    <t>WNC Rental Services Catalogue; Full Venue Rental Terms; WNC Rental Agreement Template; Full Production Proposal Template; Email Template Library</t>
  </si>
  <si>
    <t>DEC-053</t>
  </si>
  <si>
    <t>Full-production pricing</t>
  </si>
  <si>
    <t>Historical proposals could be mistaken for a current pricing formula.</t>
  </si>
  <si>
    <t>Full-production pricing remains TBC and must be manually quoted. No deterministic pricing rule should be created yet.</t>
  </si>
  <si>
    <t>Immediately</t>
  </si>
  <si>
    <t>Updated Rental Lookbook 2026; WNC Rental Pricing, Fees &amp; Payment Rules; WNC Rental Services Catalogue; Full Production Proposal Template</t>
  </si>
  <si>
    <t>Management must approve a future pricing methodology before it becomes authoritative.</t>
  </si>
  <si>
    <t>DEC-054</t>
  </si>
  <si>
    <t>Storefront wording</t>
  </si>
  <si>
    <t>Storefront-related wording could be interpreted as universally applicable.</t>
  </si>
  <si>
    <t>Storefront-related wording must be qualified with 'If applicable'.</t>
  </si>
  <si>
    <t>Updated Rental Lookbook 2026; Studio Rental Terms; Full Venue Rental Terms; WNC Rental Agreement Template; Proposal Templates; Email Template Library</t>
  </si>
  <si>
    <t>DEC-055</t>
  </si>
  <si>
    <t>Historical case authority</t>
  </si>
  <si>
    <t>Historical agreements and proposals contained useful examples but conflicting prices and rules.</t>
  </si>
  <si>
    <t>Historical case documents are reference-only and excluded from authoritative rule retrieval.</t>
  </si>
  <si>
    <t>WNC Rental Knowledge Inventory; WNC Rental Data Dictionary; Historical Case Summaries; 99: Archive governance notes</t>
  </si>
  <si>
    <t>Use authority_level = reference_only and retrieval_status = excluded_from_authoritative_rules.</t>
  </si>
  <si>
    <t>DEC-056</t>
  </si>
  <si>
    <t>Historical commercial variations</t>
  </si>
  <si>
    <t>Old prices, overtime, deposits and terms could be mistaken for current policy.</t>
  </si>
  <si>
    <t>Historical variations in prices, overtime, deposits and contractual terms must not be used as current rules.</t>
  </si>
  <si>
    <t>WNC Rental Knowledge Inventory; WNC Rental Data Dictionary; Historical Case Summaries; 99: Archive governance notes; WNC Rental Pricing, Fees &amp; Payment Rules</t>
  </si>
  <si>
    <t>Historical cases may still support lessons learned and operational examples.</t>
  </si>
  <si>
    <t>DEC-057</t>
  </si>
  <si>
    <t>Universal Rental Agreement master</t>
  </si>
  <si>
    <t>Historical client agreements were the only complete agreements available and could be reused as templates.</t>
  </si>
  <si>
    <t>A new universal controlled WNC Rental Agreement Template must be created; historical client agreements are not suitable as the master.</t>
  </si>
  <si>
    <t>WNC Rental Agreement Template; WNC Rental Knowledge Inventory; Historical Case Summaries; 99: Archive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</si>
</sst>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6.0"/>
      <color rgb="FFFFFFFF"/>
      <name val="Carlito"/>
    </font>
    <font>
      <sz val="11.0"/>
      <color theme="1"/>
      <name val="Carlito"/>
    </font>
    <font>
      <i/>
      <sz val="10.0"/>
      <color rgb="FF1F2937"/>
      <name val="Carlito"/>
    </font>
    <font>
      <b/>
      <sz val="10.0"/>
      <color rgb="FF18324A"/>
      <name val="Carlito"/>
    </font>
    <font>
      <sz val="10.0"/>
      <color theme="1"/>
      <name val="Carlito"/>
    </font>
    <font>
      <b/>
      <sz val="11.0"/>
      <color rgb="FF18324A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8324A"/>
        <bgColor rgb="FF18324A"/>
      </patternFill>
    </fill>
    <fill>
      <patternFill patternType="solid">
        <fgColor rgb="FF2F6F6D"/>
        <bgColor rgb="FF2F6F6D"/>
      </patternFill>
    </fill>
    <fill>
      <patternFill patternType="solid">
        <fgColor rgb="FFC79A3B"/>
        <bgColor rgb="FFC79A3B"/>
      </patternFill>
    </fill>
    <fill>
      <patternFill patternType="solid">
        <fgColor rgb="FFDCEBEA"/>
        <bgColor rgb="FFDCEBEA"/>
      </patternFill>
    </fill>
    <fill>
      <patternFill patternType="solid">
        <fgColor rgb="FFF7EED8"/>
        <bgColor rgb="FFF7EED8"/>
      </patternFill>
    </fill>
    <fill>
      <patternFill patternType="solid">
        <fgColor rgb="FFE9F0F6"/>
        <bgColor rgb="FFE9F0F6"/>
      </patternFill>
    </fill>
    <fill>
      <patternFill patternType="solid">
        <fgColor rgb="FFF3F4F6"/>
        <bgColor rgb="FFF3F4F6"/>
      </patternFill>
    </fill>
  </fills>
  <borders count="8">
    <border/>
    <border>
      <left/>
      <top/>
    </border>
    <border>
      <right/>
      <top/>
    </border>
    <border>
      <left/>
    </border>
    <border>
      <right/>
    </border>
    <border>
      <top/>
    </border>
    <border>
      <left/>
      <bottom/>
    </border>
    <border>
      <right/>
      <bottom/>
    </border>
  </borders>
  <cellStyleXfs count="1">
    <xf borderId="0" fillId="0" fontId="0" numFmtId="0" applyAlignment="1" applyFont="1"/>
  </cellStyleXfs>
  <cellXfs count="3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top" wrapText="1"/>
    </xf>
    <xf borderId="0" fillId="2" fontId="2" numFmtId="0" xfId="0" applyAlignment="1" applyFont="1">
      <alignment horizontal="left" vertical="center"/>
    </xf>
    <xf borderId="0" fillId="0" fontId="3" numFmtId="0" xfId="0" applyAlignment="1" applyFont="1">
      <alignment shrinkToFit="0" vertical="top" wrapText="1"/>
    </xf>
    <xf borderId="1" fillId="3" fontId="1" numFmtId="0" xfId="0" applyAlignment="1" applyBorder="1" applyFill="1" applyFont="1">
      <alignment horizontal="center"/>
    </xf>
    <xf borderId="2" fillId="3" fontId="1" numFmtId="0" xfId="0" applyAlignment="1" applyBorder="1" applyFont="1">
      <alignment horizontal="center"/>
    </xf>
    <xf borderId="1" fillId="4" fontId="1" numFmtId="0" xfId="0" applyAlignment="1" applyBorder="1" applyFill="1" applyFont="1">
      <alignment horizontal="center"/>
    </xf>
    <xf borderId="2" fillId="4" fontId="1" numFmtId="0" xfId="0" applyAlignment="1" applyBorder="1" applyFont="1">
      <alignment horizontal="center"/>
    </xf>
    <xf borderId="3" fillId="5" fontId="3" numFmtId="0" xfId="0" applyBorder="1" applyFill="1" applyFont="1"/>
    <xf borderId="4" fillId="5" fontId="3" numFmtId="0" xfId="0" applyBorder="1" applyFont="1"/>
    <xf borderId="3" fillId="6" fontId="3" numFmtId="0" xfId="0" applyBorder="1" applyFill="1" applyFont="1"/>
    <xf borderId="4" fillId="6" fontId="3" numFmtId="0" xfId="0" applyBorder="1" applyFont="1"/>
    <xf borderId="0" fillId="6" fontId="4" numFmtId="0" xfId="0" applyAlignment="1" applyFont="1">
      <alignment shrinkToFit="0" wrapText="1"/>
    </xf>
    <xf borderId="0" fillId="7" fontId="4" numFmtId="0" xfId="0" applyAlignment="1" applyFill="1" applyFont="1">
      <alignment shrinkToFit="0" wrapText="1"/>
    </xf>
    <xf borderId="1" fillId="4" fontId="1" numFmtId="0" xfId="0" applyAlignment="1" applyBorder="1" applyFont="1">
      <alignment horizontal="center" readingOrder="0" shrinkToFit="0" vertical="center" wrapText="1"/>
    </xf>
    <xf borderId="1" fillId="3" fontId="1" numFmtId="0" xfId="0" applyAlignment="1" applyBorder="1" applyFont="1">
      <alignment horizontal="center" readingOrder="0" shrinkToFit="0" vertical="center" wrapText="1"/>
    </xf>
    <xf borderId="5" fillId="4" fontId="1" numFmtId="0" xfId="0" applyAlignment="1" applyBorder="1" applyFont="1">
      <alignment horizontal="center" readingOrder="0" shrinkToFit="0" vertical="center" wrapText="1"/>
    </xf>
    <xf borderId="5" fillId="3" fontId="1" numFmtId="0" xfId="0" applyAlignment="1" applyBorder="1" applyFont="1">
      <alignment horizontal="center" readingOrder="0" shrinkToFit="0" vertical="center" wrapText="1"/>
    </xf>
    <xf borderId="6" fillId="5" fontId="3" numFmtId="0" xfId="0" applyBorder="1" applyFont="1"/>
    <xf borderId="2" fillId="4" fontId="1" numFmtId="0" xfId="0" applyAlignment="1" applyBorder="1" applyFont="1">
      <alignment horizontal="center" readingOrder="0" shrinkToFit="0" vertical="center" wrapText="1"/>
    </xf>
    <xf borderId="7" fillId="5" fontId="3" numFmtId="0" xfId="0" applyBorder="1" applyFont="1"/>
    <xf borderId="6" fillId="6" fontId="3" numFmtId="0" xfId="0" applyBorder="1" applyFont="1"/>
    <xf borderId="0" fillId="0" fontId="5" numFmtId="0" xfId="0" applyAlignment="1" applyFont="1">
      <alignment shrinkToFit="0" vertical="top" wrapText="1"/>
    </xf>
    <xf borderId="2" fillId="3" fontId="1" numFmtId="0" xfId="0" applyAlignment="1" applyBorder="1" applyFont="1">
      <alignment horizontal="center" readingOrder="0" shrinkToFit="0" vertical="center" wrapText="1"/>
    </xf>
    <xf borderId="0" fillId="0" fontId="6" numFmtId="0" xfId="0" applyAlignment="1" applyFont="1">
      <alignment shrinkToFit="0" vertical="top" wrapText="1"/>
    </xf>
    <xf borderId="7" fillId="6" fontId="3" numFmtId="0" xfId="0" applyBorder="1" applyFont="1"/>
    <xf borderId="0" fillId="3" fontId="1" numFmtId="0" xfId="0" applyFont="1"/>
    <xf borderId="0" fillId="7" fontId="7" numFmtId="0" xfId="0" applyAlignment="1" applyFont="1">
      <alignment horizontal="center" shrinkToFit="0" vertical="center" wrapText="1"/>
    </xf>
    <xf borderId="0" fillId="8" fontId="3" numFmtId="0" xfId="0" applyAlignment="1" applyFill="1" applyFont="1">
      <alignment shrinkToFit="0" vertical="center" wrapText="1"/>
    </xf>
    <xf borderId="0" fillId="0" fontId="6" numFmtId="0" xfId="0" applyAlignment="1" applyFont="1">
      <alignment readingOrder="0" shrinkToFit="0" vertical="top" wrapText="1"/>
    </xf>
    <xf borderId="0" fillId="0" fontId="6" numFmtId="49" xfId="0" applyAlignment="1" applyFont="1" applyNumberFormat="1">
      <alignment shrinkToFit="0" vertical="top" wrapText="1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B1C1C"/>
      </font>
      <fill>
        <patternFill patternType="solid">
          <fgColor rgb="FFFDE2E2"/>
          <bgColor rgb="FFFDE2E2"/>
        </patternFill>
      </fill>
      <border/>
    </dxf>
    <dxf>
      <font>
        <b/>
        <color rgb="FF7A5A00"/>
      </font>
      <fill>
        <patternFill patternType="solid">
          <fgColor rgb="FFFFF3CD"/>
          <bgColor rgb="FFFFF3CD"/>
        </patternFill>
      </fill>
      <border/>
    </dxf>
    <dxf>
      <font>
        <b/>
        <color rgb="FF1F6B2A"/>
      </font>
      <fill>
        <patternFill patternType="solid">
          <fgColor rgb="FFDFF2E1"/>
          <bgColor rgb="FFDFF2E1"/>
        </patternFill>
      </fill>
      <border/>
    </dxf>
  </dxfs>
  <tableStyles count="2">
    <tableStyle count="4" pivot="0" name="Open Decision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Decision Lo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J61" displayName="RentalDecisionLogTable" name="RentalDecisionLogTable" id="2">
  <tableColumns count="10">
    <tableColumn name="Decision ID" id="1"/>
    <tableColumn name="Topic" id="2"/>
    <tableColumn name="Previous ambiguity" id="3"/>
    <tableColumn name="Final decision" id="4"/>
    <tableColumn name="Decision-maker" id="5"/>
    <tableColumn name="Decision date" id="6"/>
    <tableColumn name="Effective date" id="7"/>
    <tableColumn name="Documents requiring update" id="8"/>
    <tableColumn name="Update completed" id="9"/>
    <tableColumn name="Notes" id="10"/>
  </tableColumns>
  <tableStyleInfo name="Decision Log-style" showColumnStripes="0" showFirstColumn="1" showLastColumn="1" showRowStripes="1"/>
</table>
</file>

<file path=xl/tables/table2.xml><?xml version="1.0" encoding="utf-8"?>
<table xmlns="http://schemas.openxmlformats.org/spreadsheetml/2006/main" ref="A4:I22" displayName="OpenRentalDecisionsTable" name="OpenRentalDecisionsTable" id="1">
  <tableColumns count="9">
    <tableColumn name="Open ID" id="1"/>
    <tableColumn name="Topic" id="2"/>
    <tableColumn name="Current ambiguity" id="3"/>
    <tableColumn name="Decision required" id="4"/>
    <tableColumn name="Suggested decision-maker" id="5"/>
    <tableColumn name="Target date" id="6"/>
    <tableColumn name="Affected documents" id="7"/>
    <tableColumn name="Status" id="8"/>
    <tableColumn name="Notes" id="9"/>
  </tableColumns>
  <tableStyleInfo name="Open Decision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25.0"/>
    <col customWidth="1" min="3" max="3" width="38.0"/>
    <col customWidth="1" min="4" max="4" width="48.0"/>
    <col customWidth="1" min="5" max="5" width="25.0"/>
    <col customWidth="1" min="6" max="6" width="14.0"/>
    <col customWidth="1" min="7" max="7" width="20.0"/>
    <col customWidth="1" min="8" max="8" width="42.0"/>
    <col customWidth="1" min="9" max="9" width="16.0"/>
    <col customWidth="1" min="10" max="10" width="34.0"/>
    <col customWidth="1" min="11" max="26" width="8.63"/>
  </cols>
  <sheetData>
    <row r="1" ht="30.0" customHeight="1">
      <c r="A1" s="2" t="s">
        <v>28</v>
      </c>
    </row>
    <row r="2" ht="33.75" customHeight="1">
      <c r="A2" s="13" t="s">
        <v>30</v>
      </c>
    </row>
    <row r="4" ht="33.75" customHeight="1">
      <c r="A4" s="15" t="s">
        <v>33</v>
      </c>
      <c r="B4" s="17" t="s">
        <v>34</v>
      </c>
      <c r="C4" s="17" t="s">
        <v>36</v>
      </c>
      <c r="D4" s="17" t="s">
        <v>38</v>
      </c>
      <c r="E4" s="17" t="s">
        <v>40</v>
      </c>
      <c r="F4" s="17" t="s">
        <v>43</v>
      </c>
      <c r="G4" s="17" t="s">
        <v>46</v>
      </c>
      <c r="H4" s="17" t="s">
        <v>48</v>
      </c>
      <c r="I4" s="17" t="s">
        <v>1</v>
      </c>
      <c r="J4" s="23" t="s">
        <v>47</v>
      </c>
    </row>
    <row r="5">
      <c r="A5" s="22" t="s">
        <v>51</v>
      </c>
      <c r="B5" s="24" t="s">
        <v>53</v>
      </c>
      <c r="C5" s="24" t="s">
        <v>56</v>
      </c>
      <c r="D5" s="24" t="s">
        <v>59</v>
      </c>
      <c r="E5" s="29" t="s">
        <v>62</v>
      </c>
      <c r="F5" s="30" t="s">
        <v>58</v>
      </c>
      <c r="G5" s="30" t="s">
        <v>66</v>
      </c>
      <c r="H5" s="24" t="s">
        <v>70</v>
      </c>
      <c r="I5" s="24" t="s">
        <v>5</v>
      </c>
      <c r="J5" s="24" t="s">
        <v>78</v>
      </c>
    </row>
    <row r="6">
      <c r="A6" s="22" t="s">
        <v>81</v>
      </c>
      <c r="B6" s="24" t="s">
        <v>82</v>
      </c>
      <c r="C6" s="24" t="s">
        <v>83</v>
      </c>
      <c r="D6" s="24" t="s">
        <v>84</v>
      </c>
      <c r="E6" s="29" t="s">
        <v>62</v>
      </c>
      <c r="F6" s="30" t="s">
        <v>58</v>
      </c>
      <c r="G6" s="30" t="s">
        <v>66</v>
      </c>
      <c r="H6" s="24" t="s">
        <v>70</v>
      </c>
      <c r="I6" s="24" t="s">
        <v>5</v>
      </c>
      <c r="J6" s="24" t="s">
        <v>90</v>
      </c>
    </row>
    <row r="7">
      <c r="A7" s="22" t="s">
        <v>91</v>
      </c>
      <c r="B7" s="24" t="s">
        <v>93</v>
      </c>
      <c r="C7" s="24" t="s">
        <v>94</v>
      </c>
      <c r="D7" s="24" t="s">
        <v>96</v>
      </c>
      <c r="E7" s="29" t="s">
        <v>62</v>
      </c>
      <c r="F7" s="30" t="s">
        <v>58</v>
      </c>
      <c r="G7" s="30" t="s">
        <v>66</v>
      </c>
      <c r="H7" s="24" t="s">
        <v>101</v>
      </c>
      <c r="I7" s="24" t="s">
        <v>5</v>
      </c>
      <c r="J7" s="24" t="s">
        <v>103</v>
      </c>
    </row>
    <row r="8">
      <c r="A8" s="22" t="s">
        <v>105</v>
      </c>
      <c r="B8" s="24" t="s">
        <v>107</v>
      </c>
      <c r="C8" s="24" t="s">
        <v>109</v>
      </c>
      <c r="D8" s="24" t="s">
        <v>111</v>
      </c>
      <c r="E8" s="29" t="s">
        <v>62</v>
      </c>
      <c r="F8" s="30" t="s">
        <v>58</v>
      </c>
      <c r="G8" s="30" t="s">
        <v>66</v>
      </c>
      <c r="H8" s="24" t="s">
        <v>114</v>
      </c>
      <c r="I8" s="24" t="s">
        <v>5</v>
      </c>
      <c r="J8" s="24"/>
    </row>
    <row r="9">
      <c r="A9" s="22" t="s">
        <v>118</v>
      </c>
      <c r="B9" s="24" t="s">
        <v>119</v>
      </c>
      <c r="C9" s="24" t="s">
        <v>120</v>
      </c>
      <c r="D9" s="24" t="s">
        <v>122</v>
      </c>
      <c r="E9" s="29" t="s">
        <v>62</v>
      </c>
      <c r="F9" s="30" t="s">
        <v>58</v>
      </c>
      <c r="G9" s="30" t="s">
        <v>66</v>
      </c>
      <c r="H9" s="24" t="s">
        <v>114</v>
      </c>
      <c r="I9" s="24" t="s">
        <v>5</v>
      </c>
      <c r="J9" s="24"/>
    </row>
    <row r="10">
      <c r="A10" s="22" t="s">
        <v>126</v>
      </c>
      <c r="B10" s="24" t="s">
        <v>128</v>
      </c>
      <c r="C10" s="24" t="s">
        <v>130</v>
      </c>
      <c r="D10" s="24" t="s">
        <v>131</v>
      </c>
      <c r="E10" s="29" t="s">
        <v>62</v>
      </c>
      <c r="F10" s="30" t="s">
        <v>58</v>
      </c>
      <c r="G10" s="30" t="s">
        <v>66</v>
      </c>
      <c r="H10" s="24" t="s">
        <v>114</v>
      </c>
      <c r="I10" s="24" t="s">
        <v>5</v>
      </c>
      <c r="J10" s="24" t="s">
        <v>135</v>
      </c>
    </row>
    <row r="11">
      <c r="A11" s="22" t="s">
        <v>137</v>
      </c>
      <c r="B11" s="24" t="s">
        <v>139</v>
      </c>
      <c r="C11" s="24" t="s">
        <v>140</v>
      </c>
      <c r="D11" s="24" t="s">
        <v>141</v>
      </c>
      <c r="E11" s="29" t="s">
        <v>62</v>
      </c>
      <c r="F11" s="30" t="s">
        <v>58</v>
      </c>
      <c r="G11" s="30" t="s">
        <v>66</v>
      </c>
      <c r="H11" s="24" t="s">
        <v>114</v>
      </c>
      <c r="I11" s="24" t="s">
        <v>5</v>
      </c>
      <c r="J11" s="24"/>
    </row>
    <row r="12">
      <c r="A12" s="22" t="s">
        <v>147</v>
      </c>
      <c r="B12" s="29" t="s">
        <v>149</v>
      </c>
      <c r="C12" s="24" t="s">
        <v>151</v>
      </c>
      <c r="D12" s="24" t="s">
        <v>152</v>
      </c>
      <c r="E12" s="29" t="s">
        <v>62</v>
      </c>
      <c r="F12" s="30" t="s">
        <v>58</v>
      </c>
      <c r="G12" s="30" t="s">
        <v>66</v>
      </c>
      <c r="H12" s="24" t="s">
        <v>114</v>
      </c>
      <c r="I12" s="24" t="s">
        <v>5</v>
      </c>
      <c r="J12" s="24"/>
    </row>
    <row r="13">
      <c r="A13" s="22" t="s">
        <v>159</v>
      </c>
      <c r="B13" s="29" t="s">
        <v>162</v>
      </c>
      <c r="C13" s="24" t="s">
        <v>151</v>
      </c>
      <c r="D13" s="24" t="s">
        <v>165</v>
      </c>
      <c r="E13" s="29" t="s">
        <v>62</v>
      </c>
      <c r="F13" s="30" t="s">
        <v>58</v>
      </c>
      <c r="G13" s="30" t="s">
        <v>66</v>
      </c>
      <c r="H13" s="24" t="s">
        <v>114</v>
      </c>
      <c r="I13" s="24" t="s">
        <v>5</v>
      </c>
      <c r="J13" s="24"/>
    </row>
    <row r="14">
      <c r="A14" s="22" t="s">
        <v>172</v>
      </c>
      <c r="B14" s="29" t="s">
        <v>174</v>
      </c>
      <c r="C14" s="24" t="s">
        <v>151</v>
      </c>
      <c r="D14" s="24" t="s">
        <v>176</v>
      </c>
      <c r="E14" s="29" t="s">
        <v>62</v>
      </c>
      <c r="F14" s="30" t="s">
        <v>58</v>
      </c>
      <c r="G14" s="30" t="s">
        <v>66</v>
      </c>
      <c r="H14" s="24" t="s">
        <v>114</v>
      </c>
      <c r="I14" s="24" t="s">
        <v>5</v>
      </c>
      <c r="J14" s="24"/>
    </row>
    <row r="15">
      <c r="A15" s="22" t="s">
        <v>185</v>
      </c>
      <c r="B15" s="29" t="s">
        <v>187</v>
      </c>
      <c r="C15" s="24" t="s">
        <v>151</v>
      </c>
      <c r="D15" s="24" t="s">
        <v>189</v>
      </c>
      <c r="E15" s="29" t="s">
        <v>62</v>
      </c>
      <c r="F15" s="30" t="s">
        <v>58</v>
      </c>
      <c r="G15" s="30" t="s">
        <v>66</v>
      </c>
      <c r="H15" s="24" t="s">
        <v>114</v>
      </c>
      <c r="I15" s="24" t="s">
        <v>5</v>
      </c>
      <c r="J15" s="24"/>
    </row>
    <row r="16">
      <c r="A16" s="22" t="s">
        <v>196</v>
      </c>
      <c r="B16" s="24" t="s">
        <v>197</v>
      </c>
      <c r="C16" s="24" t="s">
        <v>198</v>
      </c>
      <c r="D16" s="24" t="s">
        <v>200</v>
      </c>
      <c r="E16" s="29" t="s">
        <v>62</v>
      </c>
      <c r="F16" s="30" t="s">
        <v>58</v>
      </c>
      <c r="G16" s="30" t="s">
        <v>66</v>
      </c>
      <c r="H16" s="24" t="s">
        <v>114</v>
      </c>
      <c r="I16" s="24" t="s">
        <v>5</v>
      </c>
      <c r="J16" s="24"/>
    </row>
    <row r="17">
      <c r="A17" s="22" t="s">
        <v>206</v>
      </c>
      <c r="B17" s="24" t="s">
        <v>207</v>
      </c>
      <c r="C17" s="24" t="s">
        <v>209</v>
      </c>
      <c r="D17" s="24" t="s">
        <v>212</v>
      </c>
      <c r="E17" s="29" t="s">
        <v>62</v>
      </c>
      <c r="F17" s="30" t="s">
        <v>58</v>
      </c>
      <c r="G17" s="30" t="s">
        <v>66</v>
      </c>
      <c r="H17" s="24" t="s">
        <v>114</v>
      </c>
      <c r="I17" s="24" t="s">
        <v>5</v>
      </c>
      <c r="J17" s="24"/>
    </row>
    <row r="18">
      <c r="A18" s="22" t="s">
        <v>216</v>
      </c>
      <c r="B18" s="24" t="s">
        <v>218</v>
      </c>
      <c r="C18" s="24" t="s">
        <v>220</v>
      </c>
      <c r="D18" s="24" t="s">
        <v>221</v>
      </c>
      <c r="E18" s="29" t="s">
        <v>62</v>
      </c>
      <c r="F18" s="30" t="s">
        <v>58</v>
      </c>
      <c r="G18" s="30" t="s">
        <v>66</v>
      </c>
      <c r="H18" s="24" t="s">
        <v>114</v>
      </c>
      <c r="I18" s="24" t="s">
        <v>5</v>
      </c>
      <c r="J18" s="24" t="s">
        <v>223</v>
      </c>
    </row>
    <row r="19">
      <c r="A19" s="22" t="s">
        <v>224</v>
      </c>
      <c r="B19" s="24" t="s">
        <v>225</v>
      </c>
      <c r="C19" s="24" t="s">
        <v>226</v>
      </c>
      <c r="D19" s="24" t="s">
        <v>227</v>
      </c>
      <c r="E19" s="29" t="s">
        <v>62</v>
      </c>
      <c r="F19" s="30" t="s">
        <v>58</v>
      </c>
      <c r="G19" s="30" t="s">
        <v>66</v>
      </c>
      <c r="H19" s="24" t="s">
        <v>114</v>
      </c>
      <c r="I19" s="24" t="s">
        <v>5</v>
      </c>
      <c r="J19" s="24"/>
    </row>
    <row r="20">
      <c r="A20" s="22" t="s">
        <v>228</v>
      </c>
      <c r="B20" s="24" t="s">
        <v>229</v>
      </c>
      <c r="C20" s="24" t="s">
        <v>230</v>
      </c>
      <c r="D20" s="24" t="s">
        <v>231</v>
      </c>
      <c r="E20" s="29" t="s">
        <v>62</v>
      </c>
      <c r="F20" s="30" t="s">
        <v>58</v>
      </c>
      <c r="G20" s="30" t="s">
        <v>66</v>
      </c>
      <c r="H20" s="24" t="s">
        <v>114</v>
      </c>
      <c r="I20" s="24" t="s">
        <v>5</v>
      </c>
      <c r="J20" s="24" t="s">
        <v>232</v>
      </c>
    </row>
    <row r="21" ht="15.75" customHeight="1">
      <c r="A21" s="22" t="s">
        <v>233</v>
      </c>
      <c r="B21" s="24" t="s">
        <v>234</v>
      </c>
      <c r="C21" s="24" t="s">
        <v>235</v>
      </c>
      <c r="D21" s="24" t="s">
        <v>236</v>
      </c>
      <c r="E21" s="29" t="s">
        <v>62</v>
      </c>
      <c r="F21" s="30" t="s">
        <v>58</v>
      </c>
      <c r="G21" s="30" t="s">
        <v>66</v>
      </c>
      <c r="H21" s="24" t="s">
        <v>114</v>
      </c>
      <c r="I21" s="24" t="s">
        <v>5</v>
      </c>
      <c r="J21" s="24"/>
    </row>
    <row r="22" ht="15.75" customHeight="1">
      <c r="A22" s="22" t="s">
        <v>237</v>
      </c>
      <c r="B22" s="24" t="s">
        <v>238</v>
      </c>
      <c r="C22" s="24" t="s">
        <v>239</v>
      </c>
      <c r="D22" s="24" t="s">
        <v>240</v>
      </c>
      <c r="E22" s="29" t="s">
        <v>62</v>
      </c>
      <c r="F22" s="30" t="s">
        <v>58</v>
      </c>
      <c r="G22" s="30" t="s">
        <v>66</v>
      </c>
      <c r="H22" s="24" t="s">
        <v>114</v>
      </c>
      <c r="I22" s="24" t="s">
        <v>5</v>
      </c>
      <c r="J22" s="24"/>
    </row>
    <row r="23" ht="15.75" customHeight="1">
      <c r="A23" s="22" t="s">
        <v>241</v>
      </c>
      <c r="B23" s="24" t="s">
        <v>242</v>
      </c>
      <c r="C23" s="24" t="s">
        <v>243</v>
      </c>
      <c r="D23" s="24" t="s">
        <v>244</v>
      </c>
      <c r="E23" s="29" t="s">
        <v>62</v>
      </c>
      <c r="F23" s="30" t="s">
        <v>58</v>
      </c>
      <c r="G23" s="30" t="s">
        <v>66</v>
      </c>
      <c r="H23" s="24" t="s">
        <v>114</v>
      </c>
      <c r="I23" s="24" t="s">
        <v>5</v>
      </c>
      <c r="J23" s="24"/>
    </row>
    <row r="24" ht="15.75" customHeight="1">
      <c r="A24" s="22" t="s">
        <v>245</v>
      </c>
      <c r="B24" s="24" t="s">
        <v>246</v>
      </c>
      <c r="C24" s="24" t="s">
        <v>247</v>
      </c>
      <c r="D24" s="24" t="s">
        <v>248</v>
      </c>
      <c r="E24" s="29" t="s">
        <v>62</v>
      </c>
      <c r="F24" s="30" t="s">
        <v>58</v>
      </c>
      <c r="G24" s="30" t="s">
        <v>66</v>
      </c>
      <c r="H24" s="24" t="s">
        <v>114</v>
      </c>
      <c r="I24" s="24" t="s">
        <v>5</v>
      </c>
      <c r="J24" s="24"/>
    </row>
    <row r="25" ht="15.75" customHeight="1">
      <c r="A25" s="22" t="s">
        <v>249</v>
      </c>
      <c r="B25" s="24" t="s">
        <v>250</v>
      </c>
      <c r="C25" s="24" t="s">
        <v>251</v>
      </c>
      <c r="D25" s="24" t="s">
        <v>252</v>
      </c>
      <c r="E25" s="29" t="s">
        <v>62</v>
      </c>
      <c r="F25" s="30" t="s">
        <v>58</v>
      </c>
      <c r="G25" s="30" t="s">
        <v>66</v>
      </c>
      <c r="H25" s="24" t="s">
        <v>253</v>
      </c>
      <c r="I25" s="24" t="s">
        <v>5</v>
      </c>
      <c r="J25" s="24"/>
    </row>
    <row r="26" ht="15.75" customHeight="1">
      <c r="A26" s="22" t="s">
        <v>254</v>
      </c>
      <c r="B26" s="24" t="s">
        <v>255</v>
      </c>
      <c r="C26" s="24" t="s">
        <v>256</v>
      </c>
      <c r="D26" s="24" t="s">
        <v>257</v>
      </c>
      <c r="E26" s="29" t="s">
        <v>62</v>
      </c>
      <c r="F26" s="30" t="s">
        <v>58</v>
      </c>
      <c r="G26" s="30" t="s">
        <v>66</v>
      </c>
      <c r="H26" s="24" t="s">
        <v>114</v>
      </c>
      <c r="I26" s="24" t="s">
        <v>5</v>
      </c>
      <c r="J26" s="24"/>
    </row>
    <row r="27" ht="15.75" customHeight="1">
      <c r="A27" s="22" t="s">
        <v>258</v>
      </c>
      <c r="B27" s="24" t="s">
        <v>259</v>
      </c>
      <c r="C27" s="24" t="s">
        <v>260</v>
      </c>
      <c r="D27" s="24" t="s">
        <v>261</v>
      </c>
      <c r="E27" s="29" t="s">
        <v>62</v>
      </c>
      <c r="F27" s="30" t="s">
        <v>58</v>
      </c>
      <c r="G27" s="30" t="s">
        <v>66</v>
      </c>
      <c r="H27" s="24" t="s">
        <v>114</v>
      </c>
      <c r="I27" s="24" t="s">
        <v>5</v>
      </c>
      <c r="J27" s="24"/>
    </row>
    <row r="28" ht="15.75" customHeight="1">
      <c r="A28" s="22" t="s">
        <v>262</v>
      </c>
      <c r="B28" s="24" t="s">
        <v>263</v>
      </c>
      <c r="C28" s="24" t="s">
        <v>264</v>
      </c>
      <c r="D28" s="24" t="s">
        <v>265</v>
      </c>
      <c r="E28" s="29" t="s">
        <v>62</v>
      </c>
      <c r="F28" s="30" t="s">
        <v>58</v>
      </c>
      <c r="G28" s="30" t="s">
        <v>66</v>
      </c>
      <c r="H28" s="24" t="s">
        <v>266</v>
      </c>
      <c r="I28" s="24" t="s">
        <v>5</v>
      </c>
      <c r="J28" s="24"/>
    </row>
    <row r="29" ht="15.75" customHeight="1">
      <c r="A29" s="22" t="s">
        <v>267</v>
      </c>
      <c r="B29" s="24" t="s">
        <v>268</v>
      </c>
      <c r="C29" s="24" t="s">
        <v>269</v>
      </c>
      <c r="D29" s="24" t="s">
        <v>270</v>
      </c>
      <c r="E29" s="29" t="s">
        <v>62</v>
      </c>
      <c r="F29" s="30" t="s">
        <v>58</v>
      </c>
      <c r="G29" s="30" t="s">
        <v>66</v>
      </c>
      <c r="H29" s="24" t="s">
        <v>114</v>
      </c>
      <c r="I29" s="24" t="s">
        <v>5</v>
      </c>
      <c r="J29" s="24"/>
    </row>
    <row r="30" ht="15.75" customHeight="1">
      <c r="A30" s="22" t="s">
        <v>271</v>
      </c>
      <c r="B30" s="29" t="s">
        <v>272</v>
      </c>
      <c r="C30" s="24" t="s">
        <v>273</v>
      </c>
      <c r="D30" s="24" t="s">
        <v>274</v>
      </c>
      <c r="E30" s="29" t="s">
        <v>62</v>
      </c>
      <c r="F30" s="30" t="s">
        <v>58</v>
      </c>
      <c r="G30" s="30" t="s">
        <v>66</v>
      </c>
      <c r="H30" s="24" t="s">
        <v>114</v>
      </c>
      <c r="I30" s="24" t="s">
        <v>5</v>
      </c>
      <c r="J30" s="24"/>
    </row>
    <row r="31" ht="15.75" customHeight="1">
      <c r="A31" s="22" t="s">
        <v>275</v>
      </c>
      <c r="B31" s="29" t="s">
        <v>276</v>
      </c>
      <c r="C31" s="24" t="s">
        <v>277</v>
      </c>
      <c r="D31" s="24" t="s">
        <v>278</v>
      </c>
      <c r="E31" s="29" t="s">
        <v>62</v>
      </c>
      <c r="F31" s="30" t="s">
        <v>58</v>
      </c>
      <c r="G31" s="30" t="s">
        <v>66</v>
      </c>
      <c r="H31" s="24" t="s">
        <v>114</v>
      </c>
      <c r="I31" s="24" t="s">
        <v>5</v>
      </c>
      <c r="J31" s="24"/>
    </row>
    <row r="32" ht="15.75" customHeight="1">
      <c r="A32" s="22" t="s">
        <v>279</v>
      </c>
      <c r="B32" s="24" t="s">
        <v>280</v>
      </c>
      <c r="C32" s="24" t="s">
        <v>281</v>
      </c>
      <c r="D32" s="24" t="s">
        <v>282</v>
      </c>
      <c r="E32" s="29" t="s">
        <v>62</v>
      </c>
      <c r="F32" s="30" t="s">
        <v>58</v>
      </c>
      <c r="G32" s="30" t="s">
        <v>66</v>
      </c>
      <c r="H32" s="24" t="s">
        <v>283</v>
      </c>
      <c r="I32" s="24" t="s">
        <v>5</v>
      </c>
      <c r="J32" s="24" t="s">
        <v>284</v>
      </c>
    </row>
    <row r="33" ht="15.75" customHeight="1">
      <c r="A33" s="22" t="s">
        <v>285</v>
      </c>
      <c r="B33" s="24" t="s">
        <v>286</v>
      </c>
      <c r="C33" s="24" t="s">
        <v>287</v>
      </c>
      <c r="D33" s="24" t="s">
        <v>288</v>
      </c>
      <c r="E33" s="29" t="s">
        <v>62</v>
      </c>
      <c r="F33" s="30" t="s">
        <v>58</v>
      </c>
      <c r="G33" s="30" t="s">
        <v>66</v>
      </c>
      <c r="H33" s="24" t="s">
        <v>283</v>
      </c>
      <c r="I33" s="24" t="s">
        <v>5</v>
      </c>
      <c r="J33" s="24"/>
    </row>
    <row r="34" ht="15.75" customHeight="1">
      <c r="A34" s="22" t="s">
        <v>289</v>
      </c>
      <c r="B34" s="29" t="s">
        <v>290</v>
      </c>
      <c r="C34" s="24" t="s">
        <v>291</v>
      </c>
      <c r="D34" s="24" t="s">
        <v>292</v>
      </c>
      <c r="E34" s="29" t="s">
        <v>293</v>
      </c>
      <c r="F34" s="30" t="s">
        <v>58</v>
      </c>
      <c r="G34" s="30" t="s">
        <v>66</v>
      </c>
      <c r="H34" s="24" t="s">
        <v>114</v>
      </c>
      <c r="I34" s="24" t="s">
        <v>5</v>
      </c>
      <c r="J34" s="24" t="s">
        <v>294</v>
      </c>
    </row>
    <row r="35" ht="15.75" customHeight="1">
      <c r="A35" s="22" t="s">
        <v>295</v>
      </c>
      <c r="B35" s="29" t="s">
        <v>296</v>
      </c>
      <c r="C35" s="24" t="s">
        <v>297</v>
      </c>
      <c r="D35" s="24" t="s">
        <v>298</v>
      </c>
      <c r="E35" s="29" t="s">
        <v>293</v>
      </c>
      <c r="F35" s="30" t="s">
        <v>58</v>
      </c>
      <c r="G35" s="30" t="s">
        <v>66</v>
      </c>
      <c r="H35" s="24" t="s">
        <v>114</v>
      </c>
      <c r="I35" s="24" t="s">
        <v>5</v>
      </c>
      <c r="J35" s="24" t="s">
        <v>294</v>
      </c>
    </row>
    <row r="36" ht="15.75" customHeight="1">
      <c r="A36" s="22" t="s">
        <v>299</v>
      </c>
      <c r="B36" s="29" t="s">
        <v>300</v>
      </c>
      <c r="C36" s="24" t="s">
        <v>301</v>
      </c>
      <c r="D36" s="24" t="s">
        <v>302</v>
      </c>
      <c r="E36" s="29" t="s">
        <v>293</v>
      </c>
      <c r="F36" s="30" t="s">
        <v>58</v>
      </c>
      <c r="G36" s="30" t="s">
        <v>66</v>
      </c>
      <c r="H36" s="24" t="s">
        <v>114</v>
      </c>
      <c r="I36" s="24" t="s">
        <v>5</v>
      </c>
      <c r="J36" s="24" t="s">
        <v>294</v>
      </c>
    </row>
    <row r="37" ht="15.75" customHeight="1">
      <c r="A37" s="22" t="s">
        <v>303</v>
      </c>
      <c r="B37" s="29" t="s">
        <v>304</v>
      </c>
      <c r="C37" s="24" t="s">
        <v>305</v>
      </c>
      <c r="D37" s="24" t="s">
        <v>306</v>
      </c>
      <c r="E37" s="29" t="s">
        <v>293</v>
      </c>
      <c r="F37" s="30" t="s">
        <v>58</v>
      </c>
      <c r="G37" s="30" t="s">
        <v>66</v>
      </c>
      <c r="H37" s="24" t="s">
        <v>114</v>
      </c>
      <c r="I37" s="24" t="s">
        <v>5</v>
      </c>
      <c r="J37" s="24" t="s">
        <v>307</v>
      </c>
    </row>
    <row r="38" ht="15.75" customHeight="1">
      <c r="A38" s="22" t="s">
        <v>308</v>
      </c>
      <c r="B38" s="29" t="s">
        <v>309</v>
      </c>
      <c r="C38" s="24" t="s">
        <v>310</v>
      </c>
      <c r="D38" s="24" t="s">
        <v>311</v>
      </c>
      <c r="E38" s="29" t="s">
        <v>62</v>
      </c>
      <c r="F38" s="30" t="s">
        <v>58</v>
      </c>
      <c r="G38" s="30" t="s">
        <v>66</v>
      </c>
      <c r="H38" s="24" t="s">
        <v>114</v>
      </c>
      <c r="I38" s="24" t="s">
        <v>5</v>
      </c>
      <c r="J38" s="24"/>
    </row>
    <row r="39" ht="15.75" customHeight="1">
      <c r="A39" s="22" t="s">
        <v>312</v>
      </c>
      <c r="B39" s="29" t="s">
        <v>313</v>
      </c>
      <c r="C39" s="24" t="s">
        <v>310</v>
      </c>
      <c r="D39" s="24" t="s">
        <v>314</v>
      </c>
      <c r="E39" s="29" t="s">
        <v>62</v>
      </c>
      <c r="F39" s="30" t="s">
        <v>58</v>
      </c>
      <c r="G39" s="30" t="s">
        <v>66</v>
      </c>
      <c r="H39" s="24" t="s">
        <v>114</v>
      </c>
      <c r="I39" s="24" t="s">
        <v>5</v>
      </c>
      <c r="J39" s="24"/>
    </row>
    <row r="40" ht="15.75" customHeight="1">
      <c r="A40" s="22" t="s">
        <v>315</v>
      </c>
      <c r="B40" s="24" t="s">
        <v>316</v>
      </c>
      <c r="C40" s="24" t="s">
        <v>317</v>
      </c>
      <c r="D40" s="24" t="s">
        <v>318</v>
      </c>
      <c r="E40" s="29" t="s">
        <v>62</v>
      </c>
      <c r="F40" s="30" t="s">
        <v>58</v>
      </c>
      <c r="G40" s="30" t="s">
        <v>66</v>
      </c>
      <c r="H40" s="24" t="s">
        <v>114</v>
      </c>
      <c r="I40" s="24" t="s">
        <v>5</v>
      </c>
      <c r="J40" s="24"/>
    </row>
    <row r="41" ht="15.75" customHeight="1">
      <c r="A41" s="22" t="s">
        <v>319</v>
      </c>
      <c r="B41" s="24" t="s">
        <v>320</v>
      </c>
      <c r="C41" s="24" t="s">
        <v>321</v>
      </c>
      <c r="D41" s="24" t="s">
        <v>322</v>
      </c>
      <c r="E41" s="29" t="s">
        <v>62</v>
      </c>
      <c r="F41" s="30" t="s">
        <v>58</v>
      </c>
      <c r="G41" s="30" t="s">
        <v>66</v>
      </c>
      <c r="H41" s="24" t="s">
        <v>114</v>
      </c>
      <c r="I41" s="24" t="s">
        <v>5</v>
      </c>
      <c r="J41" s="24"/>
    </row>
    <row r="42" ht="15.75" customHeight="1">
      <c r="A42" s="22" t="s">
        <v>323</v>
      </c>
      <c r="B42" s="24" t="s">
        <v>324</v>
      </c>
      <c r="C42" s="24" t="s">
        <v>325</v>
      </c>
      <c r="D42" s="24" t="s">
        <v>326</v>
      </c>
      <c r="E42" s="29" t="s">
        <v>62</v>
      </c>
      <c r="F42" s="30" t="s">
        <v>58</v>
      </c>
      <c r="G42" s="30" t="s">
        <v>66</v>
      </c>
      <c r="H42" s="24" t="s">
        <v>114</v>
      </c>
      <c r="I42" s="24" t="s">
        <v>5</v>
      </c>
      <c r="J42" s="24" t="s">
        <v>327</v>
      </c>
    </row>
    <row r="43" ht="15.75" customHeight="1">
      <c r="A43" s="22" t="s">
        <v>328</v>
      </c>
      <c r="B43" s="24" t="s">
        <v>329</v>
      </c>
      <c r="C43" s="24" t="s">
        <v>330</v>
      </c>
      <c r="D43" s="24" t="s">
        <v>331</v>
      </c>
      <c r="E43" s="29" t="s">
        <v>62</v>
      </c>
      <c r="F43" s="30" t="s">
        <v>58</v>
      </c>
      <c r="G43" s="30" t="s">
        <v>66</v>
      </c>
      <c r="H43" s="24" t="s">
        <v>332</v>
      </c>
      <c r="I43" s="24" t="s">
        <v>9</v>
      </c>
      <c r="J43" s="24" t="s">
        <v>333</v>
      </c>
    </row>
    <row r="44" ht="15.75" customHeight="1">
      <c r="A44" s="22" t="s">
        <v>334</v>
      </c>
      <c r="B44" s="24" t="s">
        <v>335</v>
      </c>
      <c r="C44" s="24" t="s">
        <v>336</v>
      </c>
      <c r="D44" s="24" t="s">
        <v>337</v>
      </c>
      <c r="E44" s="29" t="s">
        <v>62</v>
      </c>
      <c r="F44" s="30" t="s">
        <v>58</v>
      </c>
      <c r="G44" s="30" t="s">
        <v>66</v>
      </c>
      <c r="H44" s="24" t="s">
        <v>332</v>
      </c>
      <c r="I44" s="24" t="s">
        <v>9</v>
      </c>
      <c r="J44" s="24" t="s">
        <v>338</v>
      </c>
    </row>
    <row r="45" ht="15.75" customHeight="1">
      <c r="A45" s="22" t="s">
        <v>339</v>
      </c>
      <c r="B45" s="24" t="s">
        <v>340</v>
      </c>
      <c r="C45" s="24" t="s">
        <v>341</v>
      </c>
      <c r="D45" s="24" t="s">
        <v>342</v>
      </c>
      <c r="E45" s="29" t="s">
        <v>62</v>
      </c>
      <c r="F45" s="30" t="s">
        <v>58</v>
      </c>
      <c r="G45" s="30" t="s">
        <v>66</v>
      </c>
      <c r="H45" s="24" t="s">
        <v>343</v>
      </c>
      <c r="I45" s="24" t="s">
        <v>5</v>
      </c>
      <c r="J45" s="24" t="s">
        <v>344</v>
      </c>
    </row>
    <row r="46" ht="15.75" customHeight="1">
      <c r="A46" s="22" t="s">
        <v>345</v>
      </c>
      <c r="B46" s="24" t="s">
        <v>346</v>
      </c>
      <c r="C46" s="24" t="s">
        <v>347</v>
      </c>
      <c r="D46" s="24" t="s">
        <v>348</v>
      </c>
      <c r="E46" s="29" t="s">
        <v>62</v>
      </c>
      <c r="F46" s="30" t="s">
        <v>58</v>
      </c>
      <c r="G46" s="30" t="s">
        <v>66</v>
      </c>
      <c r="H46" s="24" t="s">
        <v>349</v>
      </c>
      <c r="I46" s="24" t="s">
        <v>5</v>
      </c>
      <c r="J46" s="24" t="s">
        <v>350</v>
      </c>
    </row>
    <row r="47" ht="15.75" customHeight="1">
      <c r="A47" s="22" t="s">
        <v>351</v>
      </c>
      <c r="B47" s="24" t="s">
        <v>352</v>
      </c>
      <c r="C47" s="24" t="s">
        <v>353</v>
      </c>
      <c r="D47" s="24" t="s">
        <v>354</v>
      </c>
      <c r="E47" s="29" t="s">
        <v>62</v>
      </c>
      <c r="F47" s="30" t="s">
        <v>58</v>
      </c>
      <c r="G47" s="30" t="s">
        <v>66</v>
      </c>
      <c r="H47" s="24" t="s">
        <v>332</v>
      </c>
      <c r="I47" s="24" t="s">
        <v>5</v>
      </c>
      <c r="J47" s="24" t="s">
        <v>355</v>
      </c>
    </row>
    <row r="48" ht="15.75" customHeight="1">
      <c r="A48" s="22" t="s">
        <v>356</v>
      </c>
      <c r="B48" s="24" t="s">
        <v>357</v>
      </c>
      <c r="C48" s="24" t="s">
        <v>358</v>
      </c>
      <c r="D48" s="24" t="s">
        <v>359</v>
      </c>
      <c r="E48" s="29" t="s">
        <v>62</v>
      </c>
      <c r="F48" s="30" t="s">
        <v>58</v>
      </c>
      <c r="G48" s="30" t="s">
        <v>66</v>
      </c>
      <c r="H48" s="29" t="s">
        <v>360</v>
      </c>
      <c r="I48" s="24" t="s">
        <v>5</v>
      </c>
      <c r="J48" s="24"/>
    </row>
    <row r="49" ht="15.75" customHeight="1">
      <c r="A49" s="22" t="s">
        <v>361</v>
      </c>
      <c r="B49" s="24" t="s">
        <v>362</v>
      </c>
      <c r="C49" s="24" t="s">
        <v>363</v>
      </c>
      <c r="D49" s="24" t="s">
        <v>364</v>
      </c>
      <c r="E49" s="29" t="s">
        <v>62</v>
      </c>
      <c r="F49" s="30" t="s">
        <v>58</v>
      </c>
      <c r="G49" s="30" t="s">
        <v>66</v>
      </c>
      <c r="H49" s="24" t="s">
        <v>332</v>
      </c>
      <c r="I49" s="24" t="s">
        <v>5</v>
      </c>
      <c r="J49" s="24"/>
    </row>
    <row r="50" ht="15.75" customHeight="1">
      <c r="A50" s="22" t="s">
        <v>365</v>
      </c>
      <c r="B50" s="24" t="s">
        <v>366</v>
      </c>
      <c r="C50" s="24" t="s">
        <v>367</v>
      </c>
      <c r="D50" s="24" t="s">
        <v>368</v>
      </c>
      <c r="E50" s="29" t="s">
        <v>62</v>
      </c>
      <c r="F50" s="30" t="s">
        <v>58</v>
      </c>
      <c r="G50" s="30" t="s">
        <v>66</v>
      </c>
      <c r="H50" s="24" t="s">
        <v>369</v>
      </c>
      <c r="I50" s="24" t="s">
        <v>5</v>
      </c>
      <c r="J50" s="24" t="s">
        <v>370</v>
      </c>
    </row>
    <row r="51" ht="15.75" customHeight="1">
      <c r="A51" s="22" t="s">
        <v>371</v>
      </c>
      <c r="B51" s="24" t="s">
        <v>372</v>
      </c>
      <c r="C51" s="24" t="s">
        <v>373</v>
      </c>
      <c r="D51" s="24" t="s">
        <v>374</v>
      </c>
      <c r="E51" s="29" t="s">
        <v>62</v>
      </c>
      <c r="F51" s="30" t="s">
        <v>58</v>
      </c>
      <c r="G51" s="30" t="s">
        <v>66</v>
      </c>
      <c r="H51" s="24" t="s">
        <v>375</v>
      </c>
      <c r="I51" s="24" t="s">
        <v>5</v>
      </c>
      <c r="J51" s="24"/>
    </row>
    <row r="52" ht="15.75" customHeight="1">
      <c r="A52" s="22" t="s">
        <v>376</v>
      </c>
      <c r="B52" s="24" t="s">
        <v>377</v>
      </c>
      <c r="C52" s="24" t="s">
        <v>378</v>
      </c>
      <c r="D52" s="24" t="s">
        <v>379</v>
      </c>
      <c r="E52" s="29" t="s">
        <v>62</v>
      </c>
      <c r="F52" s="30" t="s">
        <v>58</v>
      </c>
      <c r="G52" s="30" t="s">
        <v>66</v>
      </c>
      <c r="H52" s="24" t="s">
        <v>375</v>
      </c>
      <c r="I52" s="24" t="s">
        <v>5</v>
      </c>
      <c r="J52" s="24" t="s">
        <v>380</v>
      </c>
    </row>
    <row r="53" ht="15.75" customHeight="1">
      <c r="A53" s="22" t="s">
        <v>381</v>
      </c>
      <c r="B53" s="24" t="s">
        <v>382</v>
      </c>
      <c r="C53" s="24" t="s">
        <v>383</v>
      </c>
      <c r="D53" s="24" t="s">
        <v>384</v>
      </c>
      <c r="E53" s="29" t="s">
        <v>62</v>
      </c>
      <c r="F53" s="30" t="s">
        <v>58</v>
      </c>
      <c r="G53" s="30" t="s">
        <v>66</v>
      </c>
      <c r="H53" s="24" t="s">
        <v>375</v>
      </c>
      <c r="I53" s="24" t="s">
        <v>5</v>
      </c>
      <c r="J53" s="24"/>
    </row>
    <row r="54" ht="15.75" customHeight="1">
      <c r="A54" s="22" t="s">
        <v>385</v>
      </c>
      <c r="B54" s="24" t="s">
        <v>386</v>
      </c>
      <c r="C54" s="24" t="s">
        <v>387</v>
      </c>
      <c r="D54" s="24" t="s">
        <v>388</v>
      </c>
      <c r="E54" s="29" t="s">
        <v>62</v>
      </c>
      <c r="F54" s="30" t="s">
        <v>58</v>
      </c>
      <c r="G54" s="30" t="s">
        <v>66</v>
      </c>
      <c r="H54" s="24" t="s">
        <v>375</v>
      </c>
      <c r="I54" s="24" t="s">
        <v>5</v>
      </c>
      <c r="J54" s="24" t="s">
        <v>389</v>
      </c>
    </row>
    <row r="55" ht="15.75" customHeight="1">
      <c r="A55" s="22" t="s">
        <v>390</v>
      </c>
      <c r="B55" s="24" t="s">
        <v>391</v>
      </c>
      <c r="C55" s="24" t="s">
        <v>392</v>
      </c>
      <c r="D55" s="24" t="s">
        <v>393</v>
      </c>
      <c r="E55" s="29" t="s">
        <v>62</v>
      </c>
      <c r="F55" s="30" t="s">
        <v>58</v>
      </c>
      <c r="G55" s="30" t="s">
        <v>66</v>
      </c>
      <c r="H55" s="24" t="s">
        <v>394</v>
      </c>
      <c r="I55" s="24" t="s">
        <v>5</v>
      </c>
      <c r="J55" s="24"/>
    </row>
    <row r="56" ht="15.75" customHeight="1">
      <c r="A56" s="22" t="s">
        <v>395</v>
      </c>
      <c r="B56" s="24" t="s">
        <v>396</v>
      </c>
      <c r="C56" s="24" t="s">
        <v>397</v>
      </c>
      <c r="D56" s="24" t="s">
        <v>398</v>
      </c>
      <c r="E56" s="29" t="s">
        <v>62</v>
      </c>
      <c r="F56" s="30" t="s">
        <v>58</v>
      </c>
      <c r="G56" s="30" t="s">
        <v>66</v>
      </c>
      <c r="H56" s="24" t="s">
        <v>399</v>
      </c>
      <c r="I56" s="24" t="s">
        <v>5</v>
      </c>
      <c r="J56" s="24"/>
    </row>
    <row r="57" ht="15.75" customHeight="1">
      <c r="A57" s="22" t="s">
        <v>400</v>
      </c>
      <c r="B57" s="24" t="s">
        <v>401</v>
      </c>
      <c r="C57" s="24" t="s">
        <v>402</v>
      </c>
      <c r="D57" s="24" t="s">
        <v>403</v>
      </c>
      <c r="E57" s="29" t="s">
        <v>62</v>
      </c>
      <c r="F57" s="30" t="s">
        <v>58</v>
      </c>
      <c r="G57" s="30" t="s">
        <v>404</v>
      </c>
      <c r="H57" s="24" t="s">
        <v>405</v>
      </c>
      <c r="I57" s="24" t="s">
        <v>5</v>
      </c>
      <c r="J57" s="24" t="s">
        <v>406</v>
      </c>
    </row>
    <row r="58" ht="15.75" customHeight="1">
      <c r="A58" s="22" t="s">
        <v>407</v>
      </c>
      <c r="B58" s="24" t="s">
        <v>408</v>
      </c>
      <c r="C58" s="24" t="s">
        <v>409</v>
      </c>
      <c r="D58" s="24" t="s">
        <v>410</v>
      </c>
      <c r="E58" s="29" t="s">
        <v>62</v>
      </c>
      <c r="F58" s="30" t="s">
        <v>58</v>
      </c>
      <c r="G58" s="30" t="s">
        <v>66</v>
      </c>
      <c r="H58" s="24" t="s">
        <v>411</v>
      </c>
      <c r="I58" s="24" t="s">
        <v>5</v>
      </c>
      <c r="J58" s="24"/>
    </row>
    <row r="59" ht="15.75" customHeight="1">
      <c r="A59" s="22" t="s">
        <v>412</v>
      </c>
      <c r="B59" s="24" t="s">
        <v>413</v>
      </c>
      <c r="C59" s="24" t="s">
        <v>414</v>
      </c>
      <c r="D59" s="24" t="s">
        <v>415</v>
      </c>
      <c r="E59" s="29" t="s">
        <v>62</v>
      </c>
      <c r="F59" s="30" t="s">
        <v>58</v>
      </c>
      <c r="G59" s="30" t="s">
        <v>404</v>
      </c>
      <c r="H59" s="29" t="s">
        <v>416</v>
      </c>
      <c r="I59" s="24" t="s">
        <v>5</v>
      </c>
      <c r="J59" s="24" t="s">
        <v>417</v>
      </c>
    </row>
    <row r="60" ht="15.75" customHeight="1">
      <c r="A60" s="22" t="s">
        <v>418</v>
      </c>
      <c r="B60" s="24" t="s">
        <v>419</v>
      </c>
      <c r="C60" s="24" t="s">
        <v>420</v>
      </c>
      <c r="D60" s="24" t="s">
        <v>421</v>
      </c>
      <c r="E60" s="29" t="s">
        <v>62</v>
      </c>
      <c r="F60" s="30" t="s">
        <v>58</v>
      </c>
      <c r="G60" s="30" t="s">
        <v>404</v>
      </c>
      <c r="H60" s="29" t="s">
        <v>422</v>
      </c>
      <c r="I60" s="24" t="s">
        <v>5</v>
      </c>
      <c r="J60" s="24" t="s">
        <v>423</v>
      </c>
    </row>
    <row r="61" ht="15.75" customHeight="1">
      <c r="A61" s="22" t="s">
        <v>424</v>
      </c>
      <c r="B61" s="24" t="s">
        <v>425</v>
      </c>
      <c r="C61" s="24" t="s">
        <v>426</v>
      </c>
      <c r="D61" s="24" t="s">
        <v>427</v>
      </c>
      <c r="E61" s="29" t="s">
        <v>62</v>
      </c>
      <c r="F61" s="30" t="s">
        <v>58</v>
      </c>
      <c r="G61" s="30" t="s">
        <v>404</v>
      </c>
      <c r="H61" s="29" t="s">
        <v>428</v>
      </c>
      <c r="I61" s="24" t="s">
        <v>5</v>
      </c>
      <c r="J61" s="24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conditionalFormatting sqref="I5:I61">
    <cfRule type="expression" dxfId="5" priority="1">
      <formula>I5="No"</formula>
    </cfRule>
  </conditionalFormatting>
  <conditionalFormatting sqref="I5:I61">
    <cfRule type="expression" dxfId="6" priority="2">
      <formula>I5="Partial"</formula>
    </cfRule>
  </conditionalFormatting>
  <conditionalFormatting sqref="I5:I61">
    <cfRule type="expression" dxfId="7" priority="3">
      <formula>I5="Yes"</formula>
    </cfRule>
  </conditionalFormatting>
  <dataValidations>
    <dataValidation type="list" allowBlank="1" sqref="I5:I61">
      <formula1>"No,Partial,Yes,Not applicable"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26.0"/>
    <col customWidth="1" min="3" max="3" width="39.0"/>
    <col customWidth="1" min="4" max="4" width="45.0"/>
    <col customWidth="1" min="5" max="5" width="28.0"/>
    <col customWidth="1" min="6" max="6" width="14.0"/>
    <col customWidth="1" min="7" max="7" width="42.0"/>
    <col customWidth="1" min="8" max="8" width="15.0"/>
    <col customWidth="1" min="9" max="9" width="30.0"/>
    <col customWidth="1" min="10" max="26" width="8.63"/>
  </cols>
  <sheetData>
    <row r="1" ht="30.0" customHeight="1">
      <c r="A1" s="2" t="s">
        <v>27</v>
      </c>
    </row>
    <row r="2" ht="30.0" customHeight="1">
      <c r="A2" s="12" t="s">
        <v>29</v>
      </c>
    </row>
    <row r="4" ht="33.75" customHeight="1">
      <c r="A4" s="14" t="s">
        <v>32</v>
      </c>
      <c r="B4" s="16" t="s">
        <v>34</v>
      </c>
      <c r="C4" s="16" t="s">
        <v>35</v>
      </c>
      <c r="D4" s="16" t="s">
        <v>37</v>
      </c>
      <c r="E4" s="16" t="s">
        <v>39</v>
      </c>
      <c r="F4" s="16" t="s">
        <v>41</v>
      </c>
      <c r="G4" s="16" t="s">
        <v>44</v>
      </c>
      <c r="H4" s="16" t="s">
        <v>45</v>
      </c>
      <c r="I4" s="19" t="s">
        <v>47</v>
      </c>
    </row>
    <row r="5">
      <c r="A5" s="22" t="s">
        <v>49</v>
      </c>
      <c r="B5" s="24" t="s">
        <v>50</v>
      </c>
      <c r="C5" s="24" t="s">
        <v>52</v>
      </c>
      <c r="D5" s="24" t="s">
        <v>54</v>
      </c>
      <c r="E5" s="24" t="s">
        <v>57</v>
      </c>
      <c r="F5" s="24" t="s">
        <v>58</v>
      </c>
      <c r="G5" s="24" t="s">
        <v>61</v>
      </c>
      <c r="H5" s="24" t="s">
        <v>6</v>
      </c>
      <c r="I5" s="24"/>
    </row>
    <row r="6">
      <c r="A6" s="22" t="s">
        <v>69</v>
      </c>
      <c r="B6" s="24" t="s">
        <v>72</v>
      </c>
      <c r="C6" s="24" t="s">
        <v>74</v>
      </c>
      <c r="D6" s="24" t="s">
        <v>77</v>
      </c>
      <c r="E6" s="24" t="s">
        <v>57</v>
      </c>
      <c r="F6" s="24" t="s">
        <v>58</v>
      </c>
      <c r="G6" s="24" t="s">
        <v>61</v>
      </c>
      <c r="H6" s="24" t="s">
        <v>6</v>
      </c>
      <c r="I6" s="24"/>
    </row>
    <row r="7">
      <c r="A7" s="22" t="s">
        <v>85</v>
      </c>
      <c r="B7" s="24" t="s">
        <v>86</v>
      </c>
      <c r="C7" s="24" t="s">
        <v>87</v>
      </c>
      <c r="D7" s="24" t="s">
        <v>88</v>
      </c>
      <c r="E7" s="24" t="s">
        <v>89</v>
      </c>
      <c r="F7" s="24" t="s">
        <v>58</v>
      </c>
      <c r="G7" s="24" t="s">
        <v>92</v>
      </c>
      <c r="H7" s="24" t="s">
        <v>6</v>
      </c>
      <c r="I7" s="24"/>
    </row>
    <row r="8">
      <c r="A8" s="22" t="s">
        <v>95</v>
      </c>
      <c r="B8" s="24" t="s">
        <v>97</v>
      </c>
      <c r="C8" s="24" t="s">
        <v>98</v>
      </c>
      <c r="D8" s="24" t="s">
        <v>99</v>
      </c>
      <c r="E8" s="24" t="s">
        <v>100</v>
      </c>
      <c r="F8" s="24" t="s">
        <v>58</v>
      </c>
      <c r="G8" s="24" t="s">
        <v>102</v>
      </c>
      <c r="H8" s="24" t="s">
        <v>6</v>
      </c>
      <c r="I8" s="24"/>
    </row>
    <row r="9">
      <c r="A9" s="22" t="s">
        <v>104</v>
      </c>
      <c r="B9" s="24" t="s">
        <v>106</v>
      </c>
      <c r="C9" s="24" t="s">
        <v>108</v>
      </c>
      <c r="D9" s="24" t="s">
        <v>110</v>
      </c>
      <c r="E9" s="24" t="s">
        <v>112</v>
      </c>
      <c r="F9" s="24" t="s">
        <v>58</v>
      </c>
      <c r="G9" s="24" t="s">
        <v>113</v>
      </c>
      <c r="H9" s="24" t="s">
        <v>6</v>
      </c>
      <c r="I9" s="24"/>
    </row>
    <row r="10">
      <c r="A10" s="22" t="s">
        <v>115</v>
      </c>
      <c r="B10" s="24" t="s">
        <v>116</v>
      </c>
      <c r="C10" s="24" t="s">
        <v>117</v>
      </c>
      <c r="D10" s="24" t="s">
        <v>121</v>
      </c>
      <c r="E10" s="24" t="s">
        <v>100</v>
      </c>
      <c r="F10" s="24" t="s">
        <v>58</v>
      </c>
      <c r="G10" s="24" t="s">
        <v>123</v>
      </c>
      <c r="H10" s="24" t="s">
        <v>6</v>
      </c>
      <c r="I10" s="24"/>
    </row>
    <row r="11">
      <c r="A11" s="22" t="s">
        <v>124</v>
      </c>
      <c r="B11" s="24" t="s">
        <v>125</v>
      </c>
      <c r="C11" s="24" t="s">
        <v>127</v>
      </c>
      <c r="D11" s="24" t="s">
        <v>129</v>
      </c>
      <c r="E11" s="24" t="s">
        <v>57</v>
      </c>
      <c r="F11" s="24" t="s">
        <v>58</v>
      </c>
      <c r="G11" s="24" t="s">
        <v>132</v>
      </c>
      <c r="H11" s="24" t="s">
        <v>6</v>
      </c>
      <c r="I11" s="24"/>
    </row>
    <row r="12">
      <c r="A12" s="22" t="s">
        <v>133</v>
      </c>
      <c r="B12" s="24" t="s">
        <v>134</v>
      </c>
      <c r="C12" s="24" t="s">
        <v>136</v>
      </c>
      <c r="D12" s="24" t="s">
        <v>138</v>
      </c>
      <c r="E12" s="24" t="s">
        <v>100</v>
      </c>
      <c r="F12" s="24" t="s">
        <v>58</v>
      </c>
      <c r="G12" s="24" t="s">
        <v>142</v>
      </c>
      <c r="H12" s="24" t="s">
        <v>6</v>
      </c>
      <c r="I12" s="24"/>
    </row>
    <row r="13">
      <c r="A13" s="22" t="s">
        <v>143</v>
      </c>
      <c r="B13" s="24" t="s">
        <v>144</v>
      </c>
      <c r="C13" s="24" t="s">
        <v>145</v>
      </c>
      <c r="D13" s="24" t="s">
        <v>146</v>
      </c>
      <c r="E13" s="24" t="s">
        <v>148</v>
      </c>
      <c r="F13" s="24" t="s">
        <v>58</v>
      </c>
      <c r="G13" s="24" t="s">
        <v>150</v>
      </c>
      <c r="H13" s="24" t="s">
        <v>6</v>
      </c>
      <c r="I13" s="24"/>
    </row>
    <row r="14">
      <c r="A14" s="22" t="s">
        <v>153</v>
      </c>
      <c r="B14" s="24" t="s">
        <v>154</v>
      </c>
      <c r="C14" s="24" t="s">
        <v>155</v>
      </c>
      <c r="D14" s="24" t="s">
        <v>156</v>
      </c>
      <c r="E14" s="24" t="s">
        <v>157</v>
      </c>
      <c r="F14" s="24" t="s">
        <v>58</v>
      </c>
      <c r="G14" s="24" t="s">
        <v>158</v>
      </c>
      <c r="H14" s="24" t="s">
        <v>6</v>
      </c>
      <c r="I14" s="24"/>
    </row>
    <row r="15">
      <c r="A15" s="22" t="s">
        <v>160</v>
      </c>
      <c r="B15" s="24" t="s">
        <v>161</v>
      </c>
      <c r="C15" s="24" t="s">
        <v>163</v>
      </c>
      <c r="D15" s="24" t="s">
        <v>164</v>
      </c>
      <c r="E15" s="24" t="s">
        <v>89</v>
      </c>
      <c r="F15" s="24" t="s">
        <v>58</v>
      </c>
      <c r="G15" s="24" t="s">
        <v>166</v>
      </c>
      <c r="H15" s="24" t="s">
        <v>6</v>
      </c>
      <c r="I15" s="24"/>
    </row>
    <row r="16">
      <c r="A16" s="22" t="s">
        <v>167</v>
      </c>
      <c r="B16" s="24" t="s">
        <v>168</v>
      </c>
      <c r="C16" s="24" t="s">
        <v>169</v>
      </c>
      <c r="D16" s="24" t="s">
        <v>170</v>
      </c>
      <c r="E16" s="24" t="s">
        <v>171</v>
      </c>
      <c r="F16" s="24" t="s">
        <v>58</v>
      </c>
      <c r="G16" s="24" t="s">
        <v>173</v>
      </c>
      <c r="H16" s="24" t="s">
        <v>6</v>
      </c>
      <c r="I16" s="24"/>
    </row>
    <row r="17">
      <c r="A17" s="22" t="s">
        <v>175</v>
      </c>
      <c r="B17" s="24" t="s">
        <v>177</v>
      </c>
      <c r="C17" s="24" t="s">
        <v>178</v>
      </c>
      <c r="D17" s="24" t="s">
        <v>179</v>
      </c>
      <c r="E17" s="24" t="s">
        <v>100</v>
      </c>
      <c r="F17" s="24" t="s">
        <v>58</v>
      </c>
      <c r="G17" s="24" t="s">
        <v>180</v>
      </c>
      <c r="H17" s="24" t="s">
        <v>6</v>
      </c>
      <c r="I17" s="24"/>
    </row>
    <row r="18">
      <c r="A18" s="22" t="s">
        <v>181</v>
      </c>
      <c r="B18" s="24" t="s">
        <v>182</v>
      </c>
      <c r="C18" s="24" t="s">
        <v>183</v>
      </c>
      <c r="D18" s="24" t="s">
        <v>184</v>
      </c>
      <c r="E18" s="24" t="s">
        <v>186</v>
      </c>
      <c r="F18" s="24" t="s">
        <v>58</v>
      </c>
      <c r="G18" s="24" t="s">
        <v>188</v>
      </c>
      <c r="H18" s="24" t="s">
        <v>6</v>
      </c>
      <c r="I18" s="24"/>
    </row>
    <row r="19">
      <c r="A19" s="22" t="s">
        <v>190</v>
      </c>
      <c r="B19" s="24" t="s">
        <v>191</v>
      </c>
      <c r="C19" s="24" t="s">
        <v>192</v>
      </c>
      <c r="D19" s="24" t="s">
        <v>193</v>
      </c>
      <c r="E19" s="24" t="s">
        <v>194</v>
      </c>
      <c r="F19" s="24" t="s">
        <v>58</v>
      </c>
      <c r="G19" s="24" t="s">
        <v>195</v>
      </c>
      <c r="H19" s="24" t="s">
        <v>6</v>
      </c>
      <c r="I19" s="24"/>
    </row>
    <row r="20">
      <c r="A20" s="22" t="s">
        <v>199</v>
      </c>
      <c r="B20" s="24" t="s">
        <v>201</v>
      </c>
      <c r="C20" s="24" t="s">
        <v>202</v>
      </c>
      <c r="D20" s="24" t="s">
        <v>203</v>
      </c>
      <c r="E20" s="24" t="s">
        <v>57</v>
      </c>
      <c r="F20" s="24" t="s">
        <v>58</v>
      </c>
      <c r="G20" s="24" t="s">
        <v>204</v>
      </c>
      <c r="H20" s="24" t="s">
        <v>6</v>
      </c>
      <c r="I20" s="24"/>
    </row>
    <row r="21" ht="15.75" customHeight="1">
      <c r="A21" s="22" t="s">
        <v>205</v>
      </c>
      <c r="B21" s="24" t="s">
        <v>208</v>
      </c>
      <c r="C21" s="24" t="s">
        <v>210</v>
      </c>
      <c r="D21" s="24" t="s">
        <v>211</v>
      </c>
      <c r="E21" s="24" t="s">
        <v>89</v>
      </c>
      <c r="F21" s="24" t="s">
        <v>58</v>
      </c>
      <c r="G21" s="24" t="s">
        <v>213</v>
      </c>
      <c r="H21" s="24" t="s">
        <v>6</v>
      </c>
      <c r="I21" s="24"/>
    </row>
    <row r="22" ht="15.75" customHeight="1">
      <c r="A22" s="22" t="s">
        <v>214</v>
      </c>
      <c r="B22" s="24" t="s">
        <v>215</v>
      </c>
      <c r="C22" s="24" t="s">
        <v>217</v>
      </c>
      <c r="D22" s="24" t="s">
        <v>219</v>
      </c>
      <c r="E22" s="24" t="s">
        <v>89</v>
      </c>
      <c r="F22" s="24" t="s">
        <v>58</v>
      </c>
      <c r="G22" s="24" t="s">
        <v>28</v>
      </c>
      <c r="H22" s="24" t="s">
        <v>6</v>
      </c>
      <c r="I22" s="24" t="s">
        <v>222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I1"/>
    <mergeCell ref="A2:I2"/>
  </mergeCells>
  <conditionalFormatting sqref="H5:H22">
    <cfRule type="expression" dxfId="5" priority="1">
      <formula>H5="Open"</formula>
    </cfRule>
  </conditionalFormatting>
  <conditionalFormatting sqref="H5:H22">
    <cfRule type="expression" dxfId="6" priority="2">
      <formula>H5="In review"</formula>
    </cfRule>
  </conditionalFormatting>
  <conditionalFormatting sqref="H5:H22">
    <cfRule type="expression" dxfId="7" priority="3">
      <formula>H5="Approved"</formula>
    </cfRule>
  </conditionalFormatting>
  <dataValidations>
    <dataValidation type="list" allowBlank="1" sqref="H5:H22">
      <formula1>"Open,In review,Approved,Closed"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18.0"/>
    <col customWidth="1" min="3" max="3" width="4.0"/>
    <col customWidth="1" min="4" max="4" width="24.0"/>
    <col customWidth="1" min="5" max="5" width="18.0"/>
    <col customWidth="1" min="6" max="6" width="16.0"/>
    <col customWidth="1" min="7" max="26" width="8.63"/>
  </cols>
  <sheetData>
    <row r="1" ht="30.0" customHeight="1">
      <c r="A1" s="2" t="s">
        <v>0</v>
      </c>
    </row>
    <row r="3">
      <c r="A3" s="4" t="s">
        <v>10</v>
      </c>
      <c r="B3" s="5" t="s">
        <v>21</v>
      </c>
      <c r="D3" s="6" t="s">
        <v>23</v>
      </c>
      <c r="E3" s="7" t="s">
        <v>21</v>
      </c>
    </row>
    <row r="4">
      <c r="A4" s="8" t="s">
        <v>24</v>
      </c>
      <c r="B4" s="9">
        <v>57.0</v>
      </c>
      <c r="D4" s="10" t="s">
        <v>25</v>
      </c>
      <c r="E4" s="11">
        <v>18.0</v>
      </c>
    </row>
    <row r="5">
      <c r="A5" s="8" t="s">
        <v>26</v>
      </c>
      <c r="B5" s="9">
        <f>COUNTIF('Decision Log'!I5:I61,"Yes")</f>
        <v>0</v>
      </c>
      <c r="D5" s="10" t="s">
        <v>11</v>
      </c>
      <c r="E5" s="11">
        <f>COUNTIF('Open Decisions'!H5:H22,"In review")</f>
        <v>0</v>
      </c>
    </row>
    <row r="6">
      <c r="A6" s="8" t="s">
        <v>31</v>
      </c>
      <c r="B6" s="9">
        <f>COUNTIF('Decision Log'!I5:I61,"Partial")</f>
        <v>2</v>
      </c>
      <c r="D6" s="10" t="s">
        <v>15</v>
      </c>
      <c r="E6" s="11">
        <f>COUNTIF('Open Decisions'!H5:H22,"Approved")</f>
        <v>0</v>
      </c>
    </row>
    <row r="7">
      <c r="A7" s="18" t="s">
        <v>42</v>
      </c>
      <c r="B7" s="20">
        <f>COUNTIF('Decision Log'!I5:I61,"No")</f>
        <v>55</v>
      </c>
      <c r="D7" s="21" t="s">
        <v>19</v>
      </c>
      <c r="E7" s="25">
        <f>COUNTIF('Open Decisions'!H5:H22,"Closed")</f>
        <v>0</v>
      </c>
    </row>
    <row r="10" ht="24.0" customHeight="1">
      <c r="A10" s="26" t="s">
        <v>55</v>
      </c>
    </row>
    <row r="11" ht="27.75" customHeight="1">
      <c r="A11" s="27" t="s">
        <v>60</v>
      </c>
      <c r="B11" s="28" t="s">
        <v>63</v>
      </c>
    </row>
    <row r="12" ht="27.75" customHeight="1">
      <c r="A12" s="27" t="s">
        <v>64</v>
      </c>
      <c r="B12" s="28" t="s">
        <v>65</v>
      </c>
    </row>
    <row r="13" ht="27.75" customHeight="1">
      <c r="A13" s="27" t="s">
        <v>67</v>
      </c>
      <c r="B13" s="28" t="s">
        <v>68</v>
      </c>
    </row>
    <row r="14" ht="27.75" customHeight="1">
      <c r="A14" s="27" t="s">
        <v>71</v>
      </c>
      <c r="B14" s="28" t="s">
        <v>73</v>
      </c>
    </row>
    <row r="15" ht="27.75" customHeight="1">
      <c r="A15" s="27" t="s">
        <v>75</v>
      </c>
      <c r="B15" s="28" t="s">
        <v>76</v>
      </c>
    </row>
    <row r="16" ht="27.75" customHeight="1">
      <c r="A16" s="27" t="s">
        <v>79</v>
      </c>
      <c r="B16" s="28" t="s">
        <v>80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F1"/>
    <mergeCell ref="A10:F10"/>
    <mergeCell ref="B11:F11"/>
    <mergeCell ref="B12:F12"/>
    <mergeCell ref="B13:F13"/>
    <mergeCell ref="B14:F14"/>
    <mergeCell ref="B15:F15"/>
    <mergeCell ref="B16:F16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24.0"/>
    <col customWidth="1" min="3" max="3" width="38.0"/>
    <col customWidth="1" min="4" max="4" width="42.0"/>
    <col customWidth="1" min="5" max="26" width="8.63"/>
  </cols>
  <sheetData>
    <row r="1" ht="27.75" customHeight="1">
      <c r="A1" s="1" t="s">
        <v>1</v>
      </c>
      <c r="B1" s="1" t="s">
        <v>2</v>
      </c>
      <c r="C1" s="1" t="s">
        <v>3</v>
      </c>
      <c r="D1" s="1" t="s">
        <v>4</v>
      </c>
    </row>
    <row r="2">
      <c r="A2" s="3" t="s">
        <v>5</v>
      </c>
      <c r="B2" s="3" t="s">
        <v>6</v>
      </c>
      <c r="C2" s="3" t="s">
        <v>7</v>
      </c>
      <c r="D2" s="3" t="s">
        <v>8</v>
      </c>
    </row>
    <row r="3">
      <c r="A3" s="3" t="s">
        <v>9</v>
      </c>
      <c r="B3" s="3" t="s">
        <v>11</v>
      </c>
      <c r="C3" s="3" t="s">
        <v>12</v>
      </c>
      <c r="D3" s="3" t="s">
        <v>13</v>
      </c>
    </row>
    <row r="4">
      <c r="A4" s="3" t="s">
        <v>14</v>
      </c>
      <c r="B4" s="3" t="s">
        <v>15</v>
      </c>
      <c r="C4" s="3" t="s">
        <v>16</v>
      </c>
      <c r="D4" s="3" t="s">
        <v>17</v>
      </c>
    </row>
    <row r="5">
      <c r="A5" s="3" t="s">
        <v>18</v>
      </c>
      <c r="B5" s="3" t="s">
        <v>19</v>
      </c>
      <c r="C5" s="3" t="s">
        <v>20</v>
      </c>
      <c r="D5" s="3" t="s">
        <v>22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