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Venue pricing" sheetId="1" r:id="rId4"/>
    <sheet state="visible" name="Booking fees" sheetId="2" r:id="rId5"/>
    <sheet state="visible" name="Expedited surcharge" sheetId="3" r:id="rId6"/>
    <sheet state="visible" name="Security deposits" sheetId="4" r:id="rId7"/>
    <sheet state="visible" name="Overtime" sheetId="5" r:id="rId8"/>
    <sheet state="visible" name="Payment rules" sheetId="6" r:id="rId9"/>
    <sheet state="visible" name="Cancellation &amp; refunds" sheetId="7" r:id="rId10"/>
    <sheet state="visible" name="VAT categories" sheetId="8" r:id="rId11"/>
    <sheet state="visible" name="Class cancellation charges" sheetId="9" r:id="rId12"/>
  </sheets>
  <definedNames/>
  <calcPr/>
  <extLst>
    <ext uri="GoogleSheetsCustomDataVersion2">
      <go:sheetsCustomData xmlns:go="http://customooxmlschemas.google.com/" r:id="rId13" roundtripDataChecksum="Qz1BJIBqYQ7XWq/988gzbUUPTo1rLIOAJZ34lzCyZRM="/>
    </ext>
  </extLst>
</workbook>
</file>

<file path=xl/sharedStrings.xml><?xml version="1.0" encoding="utf-8"?>
<sst xmlns="http://schemas.openxmlformats.org/spreadsheetml/2006/main" count="728" uniqueCount="414">
  <si>
    <t>WNC Rental Pricing, Fees &amp; Payment Rules: Booking Fees</t>
  </si>
  <si>
    <t>WNC Rental Pricing, Fees &amp; Payment Rules: Venue Pricing</t>
  </si>
  <si>
    <t>WNC Rental Pricing, Fees &amp; Payment Rules: Expedited Surcharge</t>
  </si>
  <si>
    <t>Flat, non-refundable booking fees. The fee applies where applicable and may be waived by the designated WNC rental point of contact.</t>
  </si>
  <si>
    <t>The expedited-booking surcharge applies by default when a rental is confirmed within 14 days of the rental date. It is calculated only on the venue-rental charge before VAT.</t>
  </si>
  <si>
    <t>Current 2026 venue rates by rental type, duration, day type and pricing period. Rates are taken from the Updated Rental Lookbook 2026; the exact effective date within 2026 remains TBC.</t>
  </si>
  <si>
    <t>AUTHORITATIVE COMMERCIAL MASTER  |  Amounts are excluding VAT unless stated otherwise. TBC items must be confirmed before client use.</t>
  </si>
  <si>
    <t>AUTHORITATIVE COMMERCIAL MASTER  |  Amounts are excluding 21% VAT unless stated otherwise. The 1:1 / Podcast Room remains a custom-scope rental with a published hourly baseline.</t>
  </si>
  <si>
    <t>Fee ID</t>
  </si>
  <si>
    <t>Rental type</t>
  </si>
  <si>
    <t>Duration band</t>
  </si>
  <si>
    <t>Fee excl. VAT</t>
  </si>
  <si>
    <t>Rule ID</t>
  </si>
  <si>
    <t>VAT rate</t>
  </si>
  <si>
    <t>Applies to</t>
  </si>
  <si>
    <t>Fee incl. VAT</t>
  </si>
  <si>
    <t>Trigger</t>
  </si>
  <si>
    <t>Can be waived</t>
  </si>
  <si>
    <t>Approver</t>
  </si>
  <si>
    <t>Confirmation window</t>
  </si>
  <si>
    <t>Refundable</t>
  </si>
  <si>
    <t>Rate</t>
  </si>
  <si>
    <t>Application rule</t>
  </si>
  <si>
    <t>Calculation base</t>
  </si>
  <si>
    <t>Effective date</t>
  </si>
  <si>
    <t>Price ID</t>
  </si>
  <si>
    <t>Excluded from base</t>
  </si>
  <si>
    <t>Rule status</t>
  </si>
  <si>
    <t>Notes</t>
  </si>
  <si>
    <t>Price basis</t>
  </si>
  <si>
    <t>Waivable</t>
  </si>
  <si>
    <t>BF-001</t>
  </si>
  <si>
    <t>Duration / unit</t>
  </si>
  <si>
    <t>Day type</t>
  </si>
  <si>
    <t>Studio Space</t>
  </si>
  <si>
    <t>Peak / off-peak</t>
  </si>
  <si>
    <t>1–3 hours</t>
  </si>
  <si>
    <t>Price excl. VAT</t>
  </si>
  <si>
    <t>Price incl. VAT</t>
  </si>
  <si>
    <t>ES-001</t>
  </si>
  <si>
    <t>All rental types</t>
  </si>
  <si>
    <t>Management confirmation</t>
  </si>
  <si>
    <t>Rental confirmed within 14 days of rental date</t>
  </si>
  <si>
    <t>VP-001</t>
  </si>
  <si>
    <t>14 calendar days or fewer</t>
  </si>
  <si>
    <t>Hourly</t>
  </si>
  <si>
    <t>1 hour</t>
  </si>
  <si>
    <t>Weekday</t>
  </si>
  <si>
    <t>Venue rental charge excl. VAT</t>
  </si>
  <si>
    <t>Off-peak (09:00–17:00)</t>
  </si>
  <si>
    <t>Booking fee; security deposit; catering; facilitators; production; production coordination; other additional services</t>
  </si>
  <si>
    <t>Yes</t>
  </si>
  <si>
    <t>WNC rental point of contact</t>
  </si>
  <si>
    <t>2026: exact date TBC</t>
  </si>
  <si>
    <t>Final</t>
  </si>
  <si>
    <t>Mandatory by default under the canonical Phase 2 decision. The 10% rate is also shown in the Updated Rental Lookbook 2026, pp. 7–8; the master rule applies to the venue-rental charge only and the surcharge itself is subject to 21% VAT.</t>
  </si>
  <si>
    <t>No</t>
  </si>
  <si>
    <t>Applies if applicable</t>
  </si>
  <si>
    <t>Non-refundable once charged. Source rate confirmed in Updated Rental Lookbook 2026, p. 7.</t>
  </si>
  <si>
    <t>BF-002</t>
  </si>
  <si>
    <t>4–8 hours</t>
  </si>
  <si>
    <t>WNC Rental Pricing, Fees &amp; Payment Rules: Security Deposits</t>
  </si>
  <si>
    <t>Updated Rental Lookbook 2026, p. 7.</t>
  </si>
  <si>
    <t>VP-002</t>
  </si>
  <si>
    <t>Standard refundable security-deposit guidance. Custom or unusual scopes require a manual decision; this is not yet a full risk matrix.</t>
  </si>
  <si>
    <t>Half-day</t>
  </si>
  <si>
    <t>4 hours</t>
  </si>
  <si>
    <t>Calculation check</t>
  </si>
  <si>
    <t>BF-003</t>
  </si>
  <si>
    <t>Entire Venue</t>
  </si>
  <si>
    <t>Venue rental excl. VAT</t>
  </si>
  <si>
    <t>Surcharge excl. VAT</t>
  </si>
  <si>
    <t>VAT amount</t>
  </si>
  <si>
    <t>Surcharge incl. VAT</t>
  </si>
  <si>
    <t>VP-003</t>
  </si>
  <si>
    <t>Non-refundable once charged. Source rate confirmed in Updated Rental Lookbook 2026, p. 8.</t>
  </si>
  <si>
    <t>Full-day</t>
  </si>
  <si>
    <t>8 hours</t>
  </si>
  <si>
    <t>BF-004</t>
  </si>
  <si>
    <t>Deposit ID</t>
  </si>
  <si>
    <t>4–7 hours</t>
  </si>
  <si>
    <t>Rental scope</t>
  </si>
  <si>
    <t>Method</t>
  </si>
  <si>
    <t>Standard amount</t>
  </si>
  <si>
    <t>Currency</t>
  </si>
  <si>
    <t>Return timing</t>
  </si>
  <si>
    <t>Permitted deductions</t>
  </si>
  <si>
    <t>VAT treatment</t>
  </si>
  <si>
    <t>VP-004</t>
  </si>
  <si>
    <t>BF-005</t>
  </si>
  <si>
    <t>Full day</t>
  </si>
  <si>
    <t>SD-001</t>
  </si>
  <si>
    <t>Peak hours (18:00–21:00)</t>
  </si>
  <si>
    <t>Studio-space rental</t>
  </si>
  <si>
    <t>None</t>
  </si>
  <si>
    <t>Not applicable</t>
  </si>
  <si>
    <t>No booking fee</t>
  </si>
  <si>
    <t>EUR</t>
  </si>
  <si>
    <t>VP-007</t>
  </si>
  <si>
    <t>A full-day entire-venue rental carries no booking fee. Source confirmed in Updated Rental Lookbook 2026, p. 8.</t>
  </si>
  <si>
    <t>Weekend</t>
  </si>
  <si>
    <t>No standard security deposit.</t>
  </si>
  <si>
    <t>SD-002</t>
  </si>
  <si>
    <t>One-day entire-venue rental</t>
  </si>
  <si>
    <t>Fixed amount</t>
  </si>
  <si>
    <t>VP-008</t>
  </si>
  <si>
    <t>10 business days</t>
  </si>
  <si>
    <t>Damage; overtime; cleaning; waste; missing items; outstanding costs; other valid obligations</t>
  </si>
  <si>
    <t>Not need</t>
  </si>
  <si>
    <t>Refundable unless valid deductions apply.</t>
  </si>
  <si>
    <t>SD-003</t>
  </si>
  <si>
    <t>Multi-day full-production rental</t>
  </si>
  <si>
    <t>VP-009</t>
  </si>
  <si>
    <t>Not needed</t>
  </si>
  <si>
    <t>Standard working amount for multi-day full-production scope.</t>
  </si>
  <si>
    <t>SD-004</t>
  </si>
  <si>
    <t>Other / custom scope</t>
  </si>
  <si>
    <t>Manual decision</t>
  </si>
  <si>
    <t>Usually</t>
  </si>
  <si>
    <t>VP-010</t>
  </si>
  <si>
    <t>TBC</t>
  </si>
  <si>
    <t>Set according to the approved custom scope and risk decision</t>
  </si>
  <si>
    <t>Working</t>
  </si>
  <si>
    <t>A full security-deposit risk matrix has not yet been approved.</t>
  </si>
  <si>
    <t>Updated Rental Lookbook 2026, p. 8.</t>
  </si>
  <si>
    <t>VP-011</t>
  </si>
  <si>
    <t>VP-012</t>
  </si>
  <si>
    <t>VP-013</t>
  </si>
  <si>
    <t>VP-014</t>
  </si>
  <si>
    <t>VP-015</t>
  </si>
  <si>
    <t>VP-016</t>
  </si>
  <si>
    <t>1:1 / Podcast Room</t>
  </si>
  <si>
    <t>Hourly baseline</t>
  </si>
  <si>
    <t>Weekday / weekend by availability</t>
  </si>
  <si>
    <t>Typically weekdays 09:00–18:00</t>
  </si>
  <si>
    <t>Final: custom scope</t>
  </si>
  <si>
    <t>Custom-scope rental. Available when no classes are scheduled; weekends may sometimes be available. Updated Rental Lookbook 2026, p. 11.</t>
  </si>
  <si>
    <t>Hallway bike storage</t>
  </si>
  <si>
    <t>Full-Day</t>
  </si>
  <si>
    <t>Larger rentals requiring additional storage</t>
  </si>
  <si>
    <t>WNC Rental Pricing, Fees &amp; Payment Rules: Overtime</t>
  </si>
  <si>
    <t>Overtime is billed after the applicable post-rental grace period. Grace periods support arrival and departure only; setup begins at the agreed rental start time.</t>
  </si>
  <si>
    <t>Overtime ID</t>
  </si>
  <si>
    <t>Charge type</t>
  </si>
  <si>
    <t>Rate basis</t>
  </si>
  <si>
    <t>Rate excl. VAT</t>
  </si>
  <si>
    <t>Billing increment</t>
  </si>
  <si>
    <t>Pre-rental grace</t>
  </si>
  <si>
    <t>Post-rental grace</t>
  </si>
  <si>
    <t>WNC Rental Pricing, Fees &amp; Payment Rules: Payment Rules</t>
  </si>
  <si>
    <t>Charge starts</t>
  </si>
  <si>
    <t>Unit</t>
  </si>
  <si>
    <t>A rental is confirmed once at least the 30% confirmation payment has been received. The client may instead pay 100% upfront. Payment of the confirmation amount also records acceptance of the applicable Terms and Conditions.</t>
  </si>
  <si>
    <t>OT-001</t>
  </si>
  <si>
    <t>Rental overtime</t>
  </si>
  <si>
    <t>Applicable studio hourly rate</t>
  </si>
  <si>
    <t>15 minutes</t>
  </si>
  <si>
    <t>After post-rental grace period</t>
  </si>
  <si>
    <t>Per rental hour</t>
  </si>
  <si>
    <t>Pre-rental grace is for arrival only; no operational setup before the rental start.</t>
  </si>
  <si>
    <t>Topic</t>
  </si>
  <si>
    <t>OT-002</t>
  </si>
  <si>
    <t>Final rule</t>
  </si>
  <si>
    <t>Amount / percentage</t>
  </si>
  <si>
    <t>Full-day entire venue: weekday</t>
  </si>
  <si>
    <t>Deadline / trigger</t>
  </si>
  <si>
    <t>Reduced full-day overtime rate</t>
  </si>
  <si>
    <t>Exception / waiver</t>
  </si>
  <si>
    <t>30 minutes</t>
  </si>
  <si>
    <t>WNC Rental Pricing, Fees &amp; Payment Rules: Cancellation and Refunds</t>
  </si>
  <si>
    <t>PAY-001</t>
  </si>
  <si>
    <t>Upfront payment options</t>
  </si>
  <si>
    <t>The 30-minute pre-rental grace is for arrival and traffic allowance, not setup.</t>
  </si>
  <si>
    <t>Client may pay 30% or 100% upfront</t>
  </si>
  <si>
    <t>OT-003</t>
  </si>
  <si>
    <t>Full-day entire venue: weekend</t>
  </si>
  <si>
    <t>30% or 100%</t>
  </si>
  <si>
    <t>At confirmation</t>
  </si>
  <si>
    <t>Client-cancellation treatment by timing. Production and production-coordination fees are non-refundable once agreed, and non-recoverable third-party commitments remain payable.</t>
  </si>
  <si>
    <t>All direct rentals</t>
  </si>
  <si>
    <t>Any alternative arrangement must be approved</t>
  </si>
  <si>
    <t>The 30% amount is the minimum confirmation payment.</t>
  </si>
  <si>
    <t>OT-004</t>
  </si>
  <si>
    <t>PAY-002</t>
  </si>
  <si>
    <t>Staff overtime</t>
  </si>
  <si>
    <t>Rental confirmation</t>
  </si>
  <si>
    <t>Additional WNC staff time</t>
  </si>
  <si>
    <t>Fixed staff rate</t>
  </si>
  <si>
    <t>The rental date is confirmed once at least the 30% confirmation payment has been received</t>
  </si>
  <si>
    <t>Minimum 30%</t>
  </si>
  <si>
    <t>Upon cleared receipt</t>
  </si>
  <si>
    <t>All rentals</t>
  </si>
  <si>
    <t>None stated</t>
  </si>
  <si>
    <t>Timing / condition</t>
  </si>
  <si>
    <t>Rental payments</t>
  </si>
  <si>
    <t>Booking fee</t>
  </si>
  <si>
    <t>Follows rental</t>
  </si>
  <si>
    <t>Paying the confirmation amount means the client accepts the applicable Terms and Conditions.</t>
  </si>
  <si>
    <t>Production fees</t>
  </si>
  <si>
    <t>PAY-003</t>
  </si>
  <si>
    <t>When staff time continues beyond included scope / applicable grace</t>
  </si>
  <si>
    <t>Third-party committed costs</t>
  </si>
  <si>
    <t>Remaining balance</t>
  </si>
  <si>
    <t>Per WNC staff member per hour</t>
  </si>
  <si>
    <t>Security deposit</t>
  </si>
  <si>
    <t>If 30% was paid upfront, the remaining 70% is due</t>
  </si>
  <si>
    <t>Client remains responsible for</t>
  </si>
  <si>
    <t>70%</t>
  </si>
  <si>
    <t>14 days before the event</t>
  </si>
  <si>
    <t>Charged where additional staff time is required because of client, guest or supplier activity.</t>
  </si>
  <si>
    <t>Rentals not paid in full</t>
  </si>
  <si>
    <t>Approved written exception only</t>
  </si>
  <si>
    <t>CR-001</t>
  </si>
  <si>
    <t>More than 30 days before rental</t>
  </si>
  <si>
    <t>Balance deadline is calculated from the rental date.</t>
  </si>
  <si>
    <t>Non-refundable</t>
  </si>
  <si>
    <t>PAY-004</t>
  </si>
  <si>
    <t>Non-refundable once agreed</t>
  </si>
  <si>
    <t>Booking made under 30 days</t>
  </si>
  <si>
    <t>Non-refundable / deducted where already ordered or contractually committed</t>
  </si>
  <si>
    <t>Confirmation payment is due within three days</t>
  </si>
  <si>
    <t>Refundable unless valid deductions apply</t>
  </si>
  <si>
    <t>Production coordination; goods; equipment; catering; services and other non-recoverable commitments made for the client</t>
  </si>
  <si>
    <t>Within 3 calendar days</t>
  </si>
  <si>
    <t>Bookings made fewer than 30 days before the event</t>
  </si>
  <si>
    <t>Within-14-day rule overrides</t>
  </si>
  <si>
    <t>Refund applies only to rental payments received, after the stated exclusions.</t>
  </si>
  <si>
    <t>The rental is not confirmed until payment is received.</t>
  </si>
  <si>
    <t>CR-002</t>
  </si>
  <si>
    <t>30 days or fewer before rental</t>
  </si>
  <si>
    <t>PAY-005</t>
  </si>
  <si>
    <t>Booking within 14 days</t>
  </si>
  <si>
    <t>Confirmation payment is due within 24 hours</t>
  </si>
  <si>
    <t>Client remains responsible for all non-recoverable commitments</t>
  </si>
  <si>
    <t>Within 24 hours</t>
  </si>
  <si>
    <t>Bookings made 14 days or fewer before the event</t>
  </si>
  <si>
    <t>Third-party costs or contractual commitments incurred on the client’s behalf</t>
  </si>
  <si>
    <t>Written waiver / alternative only</t>
  </si>
  <si>
    <t>All rental payments are non-refundable.</t>
  </si>
  <si>
    <t>The expedited surcharge applies by default once the rental is confirmed.</t>
  </si>
  <si>
    <t>CR-003</t>
  </si>
  <si>
    <t>Security-deposit treatment</t>
  </si>
  <si>
    <t>PAY-006</t>
  </si>
  <si>
    <t>Final Rental Agreement</t>
  </si>
  <si>
    <t>One final Rental Agreement follows once scope, timings, fees and responsibilities are finalised</t>
  </si>
  <si>
    <t>After scope is final</t>
  </si>
  <si>
    <t>All rentals requiring an agreement</t>
  </si>
  <si>
    <t>Refundable unless deductions apply</t>
  </si>
  <si>
    <t>Damage; overtime; cleaning; waste; missing items; outstanding costs or other valid obligations</t>
  </si>
  <si>
    <t>The agreement is not what initially secures the date.</t>
  </si>
  <si>
    <t>Security deposit is handled separately from cancellation fees.</t>
  </si>
  <si>
    <t>PAY-007</t>
  </si>
  <si>
    <t>Storefront</t>
  </si>
  <si>
    <t>Apply Storefront payment and platform arrangements only where the booking is processed through Storefront</t>
  </si>
  <si>
    <t>If applicable</t>
  </si>
  <si>
    <t>Per applicable platform setup</t>
  </si>
  <si>
    <t>Storefront bookings only</t>
  </si>
  <si>
    <t>Current platform terms must be checked for each booking</t>
  </si>
  <si>
    <t>Do not reuse historical platform-fee wording without checking current terms.</t>
  </si>
  <si>
    <t>Controlled payment statuses (from WNC Rental Data Dictionary)</t>
  </si>
  <si>
    <t>Status key</t>
  </si>
  <si>
    <t>Display label</t>
  </si>
  <si>
    <t>Definition</t>
  </si>
  <si>
    <t>not_applicable</t>
  </si>
  <si>
    <t>Not Applicable</t>
  </si>
  <si>
    <t>No payment status applies to this record.</t>
  </si>
  <si>
    <t>not_due</t>
  </si>
  <si>
    <t>Not Due</t>
  </si>
  <si>
    <t>Payment is not yet due.</t>
  </si>
  <si>
    <t>deposit_due</t>
  </si>
  <si>
    <t>Deposit Due</t>
  </si>
  <si>
    <t>The confirmation deposit is due.</t>
  </si>
  <si>
    <t>deposit_partially_paid</t>
  </si>
  <si>
    <t>Deposit Partially Paid</t>
  </si>
  <si>
    <t>Part of the required confirmation deposit has been received.</t>
  </si>
  <si>
    <t>deposit_paid</t>
  </si>
  <si>
    <t>Deposit Paid</t>
  </si>
  <si>
    <t>The required confirmation deposit has been received.</t>
  </si>
  <si>
    <t>WNC Rental Pricing, Fees &amp; Payment Rules: VAT Categories</t>
  </si>
  <si>
    <t>balance_due</t>
  </si>
  <si>
    <t>Balance Due</t>
  </si>
  <si>
    <t>The remaining balance is due.</t>
  </si>
  <si>
    <t>VAT is assigned per proposal and invoice line item. Mixed catering must be split between the service component and the food or beverage products.</t>
  </si>
  <si>
    <t>partially_paid</t>
  </si>
  <si>
    <t>Partially Paid</t>
  </si>
  <si>
    <t>Some payment has been received, but the total due is not fully paid.</t>
  </si>
  <si>
    <t>VAT ID</t>
  </si>
  <si>
    <t>Line-item category</t>
  </si>
  <si>
    <t>Examples / included items</t>
  </si>
  <si>
    <t>paid_in_full</t>
  </si>
  <si>
    <t>Paid in Full</t>
  </si>
  <si>
    <t>All currently due rental amounts have been paid.</t>
  </si>
  <si>
    <t>Required treatment</t>
  </si>
  <si>
    <t>VAT-001</t>
  </si>
  <si>
    <t>Venue rental</t>
  </si>
  <si>
    <t>Studio Space; Entire Venue; 1:1 / Podcast Room custom rental</t>
  </si>
  <si>
    <t>overdue</t>
  </si>
  <si>
    <t>Overdue</t>
  </si>
  <si>
    <t>Apply 21% to the rental line item</t>
  </si>
  <si>
    <t>A required payment has not been received by its due date.</t>
  </si>
  <si>
    <t>VAT-002</t>
  </si>
  <si>
    <t>All applicable booking fees</t>
  </si>
  <si>
    <t>payment_plan_active</t>
  </si>
  <si>
    <t>Payment Plan Active</t>
  </si>
  <si>
    <t>Apply 21% to the fee line item</t>
  </si>
  <si>
    <t>An approved payment plan is in progress.</t>
  </si>
  <si>
    <t>VAT-003</t>
  </si>
  <si>
    <t>Expedited surcharge</t>
  </si>
  <si>
    <t>10% expedited-booking surcharge</t>
  </si>
  <si>
    <t>payment_disputed</t>
  </si>
  <si>
    <t>Apply 21% to the surcharge line item</t>
  </si>
  <si>
    <t>Payment Disputed</t>
  </si>
  <si>
    <t>The client disputes an amount, charge or payment obligation.</t>
  </si>
  <si>
    <t>VAT-004</t>
  </si>
  <si>
    <t>Production</t>
  </si>
  <si>
    <t>Full-production services</t>
  </si>
  <si>
    <t>Apply 21% to the service line item</t>
  </si>
  <si>
    <t>partially_refunded</t>
  </si>
  <si>
    <t>Partially Refunded</t>
  </si>
  <si>
    <t>Part of the received payment has been refunded.</t>
  </si>
  <si>
    <t>VAT-005</t>
  </si>
  <si>
    <t>Production coordination</t>
  </si>
  <si>
    <t>Supplier, catering, furniture, access and logistics coordination</t>
  </si>
  <si>
    <t>refunded</t>
  </si>
  <si>
    <t>Refunded</t>
  </si>
  <si>
    <t>The applicable received payment has been fully refunded.</t>
  </si>
  <si>
    <t>VAT-006</t>
  </si>
  <si>
    <t>Catering coordination / service</t>
  </si>
  <si>
    <t>Coordination, preparation, service and staffing</t>
  </si>
  <si>
    <t>Apply 21% to the service component</t>
  </si>
  <si>
    <t>waived</t>
  </si>
  <si>
    <t>Do not combine with food and drink products on one undifferentiated line.</t>
  </si>
  <si>
    <t>Waived</t>
  </si>
  <si>
    <t>VAT-007</t>
  </si>
  <si>
    <t>The applicable payment obligation has been explicitly waived.</t>
  </si>
  <si>
    <t>Food products</t>
  </si>
  <si>
    <t>Food supplied or sold as products</t>
  </si>
  <si>
    <t>Apply 9% to the product component</t>
  </si>
  <si>
    <t>VAT-008</t>
  </si>
  <si>
    <t>Beverage products</t>
  </si>
  <si>
    <t>Drinks supplied or sold as products</t>
  </si>
  <si>
    <t>VAT-009</t>
  </si>
  <si>
    <t>Mixed catering</t>
  </si>
  <si>
    <t>Catering service plus food and/or beverages</t>
  </si>
  <si>
    <t>Split</t>
  </si>
  <si>
    <t>Service → 21%; food and beverage products → 9%</t>
  </si>
  <si>
    <t>Create separate proposal and invoice line items.</t>
  </si>
  <si>
    <t>VAT-010</t>
  </si>
  <si>
    <t>Rental and staff overtime</t>
  </si>
  <si>
    <t>Rental overtime; staff overtime</t>
  </si>
  <si>
    <t>Apply 21% to the overtime service line item</t>
  </si>
  <si>
    <t>VAT-011</t>
  </si>
  <si>
    <t>Facilitator class-cancellation charge</t>
  </si>
  <si>
    <t>€45 per facilitator hour charged to client</t>
  </si>
  <si>
    <t>Apply 21% to the client invoice line item</t>
  </si>
  <si>
    <t>Standard rate is recorded excluding VAT.</t>
  </si>
  <si>
    <t>WNC Rental Pricing, Fees &amp; Payment Rules: Class-Cancellation Charges</t>
  </si>
  <si>
    <t>When a rental is confirmed 30 days or fewer before the event and a scheduled class must be cancelled, the client pays the facilitator cancellation charge. Use the tracker below for each affected class.</t>
  </si>
  <si>
    <t>Canonical rule</t>
  </si>
  <si>
    <t>Standard rate excl. VAT</t>
  </si>
  <si>
    <t>Class Duration</t>
  </si>
  <si>
    <t>Client invoicing</t>
  </si>
  <si>
    <t>Facilitator payment</t>
  </si>
  <si>
    <t>CC-001</t>
  </si>
  <si>
    <t>Rental confirmed 30 days or fewer before event and a scheduled class is cancelled to accommodate it</t>
  </si>
  <si>
    <t>60 minutes</t>
  </si>
  <si>
    <t>Add to final client invoice</t>
  </si>
  <si>
    <t>WNC guarantees facilitator payment</t>
  </si>
  <si>
    <t>Rate is per facilitator hour, excluding VAT.</t>
  </si>
  <si>
    <t>CC-002</t>
  </si>
  <si>
    <t>75 minutes</t>
  </si>
  <si>
    <t>CC-003</t>
  </si>
  <si>
    <t>90 minutes</t>
  </si>
  <si>
    <t>CC-004</t>
  </si>
  <si>
    <t>120 minutes</t>
  </si>
  <si>
    <t>Charge tracker</t>
  </si>
  <si>
    <t>Charge ID</t>
  </si>
  <si>
    <t>Rental / event</t>
  </si>
  <si>
    <t>Facilitator</t>
  </si>
  <si>
    <t>Number of hours</t>
  </si>
  <si>
    <t>Rental confirmation date</t>
  </si>
  <si>
    <t>Class cancellation date</t>
  </si>
  <si>
    <t>Event date</t>
  </si>
  <si>
    <t>Days before event</t>
  </si>
  <si>
    <t>Client charge excl. VAT</t>
  </si>
  <si>
    <t>Client charge incl. VAT</t>
  </si>
  <si>
    <t>Paid to facilitator</t>
  </si>
  <si>
    <t>Facilitator payment date</t>
  </si>
  <si>
    <t>CC-0001</t>
  </si>
  <si>
    <t>Pending</t>
  </si>
  <si>
    <t>CC-0002</t>
  </si>
  <si>
    <t>CC-0003</t>
  </si>
  <si>
    <t>CC-0004</t>
  </si>
  <si>
    <t>CC-0005</t>
  </si>
  <si>
    <t>CC-0006</t>
  </si>
  <si>
    <t>CC-0007</t>
  </si>
  <si>
    <t>CC-0008</t>
  </si>
  <si>
    <t>CC-0009</t>
  </si>
  <si>
    <t>CC-0010</t>
  </si>
  <si>
    <t>CC-0011</t>
  </si>
  <si>
    <t>CC-0012</t>
  </si>
  <si>
    <t>CC-0013</t>
  </si>
  <si>
    <t>CC-0014</t>
  </si>
  <si>
    <t>CC-0015</t>
  </si>
  <si>
    <t>CC-0016</t>
  </si>
  <si>
    <t>CC-0017</t>
  </si>
  <si>
    <t>CC-0018</t>
  </si>
  <si>
    <t>CC-0019</t>
  </si>
  <si>
    <t>CC-0020</t>
  </si>
  <si>
    <t>CC-0021</t>
  </si>
  <si>
    <t>CC-0022</t>
  </si>
  <si>
    <t>CC-0023</t>
  </si>
  <si>
    <t>CC-0024</t>
  </si>
  <si>
    <t>CC-0025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</si>
</sst>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€#,##0.00"/>
    <numFmt numFmtId="165" formatCode="mmmm yyyy"/>
    <numFmt numFmtId="166" formatCode="yyyy-mm-dd"/>
  </numFmts>
  <fonts count="11">
    <font>
      <sz val="11.0"/>
      <color rgb="FF000000"/>
      <name val="Carlito"/>
      <scheme val="minor"/>
    </font>
    <font>
      <b/>
      <sz val="16.0"/>
      <color rgb="FFFFFFFF"/>
      <name val="Carlito"/>
    </font>
    <font>
      <sz val="10.0"/>
      <color rgb="FF2F3733"/>
      <name val="Carlito"/>
    </font>
    <font>
      <b/>
      <sz val="9.0"/>
      <color rgb="FF5B665F"/>
      <name val="Carlito"/>
    </font>
    <font>
      <sz val="11.0"/>
      <color theme="1"/>
      <name val="Carlito"/>
    </font>
    <font>
      <b/>
      <sz val="9.0"/>
      <color rgb="FF2F3733"/>
      <name val="Carlito"/>
    </font>
    <font>
      <sz val="11.0"/>
      <color rgb="FF2F3733"/>
      <name val="Carlito"/>
    </font>
    <font>
      <b/>
      <sz val="10.0"/>
      <color rgb="FF2F3733"/>
      <name val="Carlito"/>
    </font>
    <font>
      <b/>
      <sz val="11.0"/>
      <color rgb="FF2F3733"/>
      <name val="Carlito"/>
    </font>
    <font>
      <sz val="10.0"/>
      <color rgb="FF434343"/>
      <name val="Carlito"/>
    </font>
    <font>
      <color theme="1"/>
      <name val="Carlito"/>
      <scheme val="minor"/>
    </font>
  </fonts>
  <fills count="7">
    <fill>
      <patternFill patternType="none"/>
    </fill>
    <fill>
      <patternFill patternType="lightGray"/>
    </fill>
    <fill>
      <patternFill patternType="solid">
        <fgColor rgb="FF365C55"/>
        <bgColor rgb="FF365C55"/>
      </patternFill>
    </fill>
    <fill>
      <patternFill patternType="solid">
        <fgColor rgb="FFF4F0E8"/>
        <bgColor rgb="FFF4F0E8"/>
      </patternFill>
    </fill>
    <fill>
      <patternFill patternType="solid">
        <fgColor rgb="FFFAF8F3"/>
        <bgColor rgb="FFFAF8F3"/>
      </patternFill>
    </fill>
    <fill>
      <patternFill patternType="solid">
        <fgColor rgb="FFDCE7E2"/>
        <bgColor rgb="FFDCE7E2"/>
      </patternFill>
    </fill>
    <fill>
      <patternFill patternType="solid">
        <fgColor rgb="FFE9EFEA"/>
        <bgColor rgb="FFE9EFEA"/>
      </patternFill>
    </fill>
  </fills>
  <borders count="1">
    <border/>
  </borders>
  <cellStyleXfs count="1">
    <xf borderId="0" fillId="0" fontId="0" numFmtId="0" applyAlignment="1" applyFont="1"/>
  </cellStyleXfs>
  <cellXfs count="2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readingOrder="0" shrinkToFit="0" vertical="center" wrapText="1"/>
    </xf>
    <xf borderId="0" fillId="3" fontId="2" numFmtId="0" xfId="0" applyAlignment="1" applyFill="1" applyFont="1">
      <alignment shrinkToFit="0" vertical="center" wrapText="1"/>
    </xf>
    <xf borderId="0" fillId="4" fontId="3" numFmtId="0" xfId="0" applyAlignment="1" applyFill="1" applyFont="1">
      <alignment shrinkToFit="0" vertical="center" wrapText="1"/>
    </xf>
    <xf borderId="0" fillId="0" fontId="4" numFmtId="0" xfId="0" applyAlignment="1" applyFont="1">
      <alignment shrinkToFit="0" wrapText="1"/>
    </xf>
    <xf borderId="0" fillId="4" fontId="5" numFmtId="0" xfId="0" applyAlignment="1" applyFont="1">
      <alignment shrinkToFit="0" vertical="center" wrapText="1"/>
    </xf>
    <xf borderId="0" fillId="0" fontId="6" numFmtId="0" xfId="0" applyAlignment="1" applyFont="1">
      <alignment shrinkToFit="0" wrapText="1"/>
    </xf>
    <xf borderId="0" fillId="5" fontId="7" numFmtId="0" xfId="0" applyAlignment="1" applyFill="1" applyFont="1">
      <alignment shrinkToFit="0" vertical="center" wrapText="1"/>
    </xf>
    <xf borderId="0" fillId="0" fontId="2" numFmtId="0" xfId="0" applyAlignment="1" applyFont="1">
      <alignment shrinkToFit="0" vertical="top" wrapText="1"/>
    </xf>
    <xf borderId="0" fillId="0" fontId="2" numFmtId="164" xfId="0" applyAlignment="1" applyFont="1" applyNumberFormat="1">
      <alignment shrinkToFit="0" vertical="top" wrapText="1"/>
    </xf>
    <xf borderId="0" fillId="0" fontId="2" numFmtId="9" xfId="0" applyAlignment="1" applyFont="1" applyNumberFormat="1">
      <alignment shrinkToFit="0" vertical="top" wrapText="1"/>
    </xf>
    <xf borderId="0" fillId="0" fontId="2" numFmtId="0" xfId="0" applyAlignment="1" applyFont="1">
      <alignment readingOrder="0" shrinkToFit="0" vertical="top" wrapText="1"/>
    </xf>
    <xf borderId="0" fillId="0" fontId="2" numFmtId="165" xfId="0" applyAlignment="1" applyFont="1" applyNumberFormat="1">
      <alignment readingOrder="0" shrinkToFit="0" vertical="top" wrapText="1"/>
    </xf>
    <xf borderId="0" fillId="6" fontId="8" numFmtId="0" xfId="0" applyAlignment="1" applyFill="1" applyFont="1">
      <alignment shrinkToFit="0" vertical="center" wrapText="1"/>
    </xf>
    <xf borderId="0" fillId="0" fontId="9" numFmtId="0" xfId="0" applyAlignment="1" applyFont="1">
      <alignment shrinkToFit="0" vertical="top" wrapText="1"/>
    </xf>
    <xf borderId="0" fillId="0" fontId="9" numFmtId="164" xfId="0" applyAlignment="1" applyFont="1" applyNumberFormat="1">
      <alignment shrinkToFit="0" vertical="top" wrapText="1"/>
    </xf>
    <xf borderId="0" fillId="0" fontId="9" numFmtId="9" xfId="0" applyAlignment="1" applyFont="1" applyNumberFormat="1">
      <alignment shrinkToFit="0" vertical="top" wrapText="1"/>
    </xf>
    <xf borderId="0" fillId="0" fontId="9" numFmtId="0" xfId="0" applyAlignment="1" applyFont="1">
      <alignment readingOrder="0" shrinkToFit="0" vertical="top" wrapText="1"/>
    </xf>
    <xf borderId="0" fillId="0" fontId="10" numFmtId="0" xfId="0" applyAlignment="1" applyFont="1">
      <alignment readingOrder="0"/>
    </xf>
    <xf borderId="0" fillId="0" fontId="9" numFmtId="164" xfId="0" applyAlignment="1" applyFont="1" applyNumberFormat="1">
      <alignment readingOrder="0" shrinkToFit="0" vertical="top" wrapText="1"/>
    </xf>
    <xf borderId="0" fillId="0" fontId="10" numFmtId="0" xfId="0" applyFont="1"/>
    <xf borderId="0" fillId="5" fontId="7" numFmtId="0" xfId="0" applyAlignment="1" applyFont="1">
      <alignment readingOrder="0" shrinkToFit="0" vertical="center" wrapText="1"/>
    </xf>
    <xf borderId="0" fillId="0" fontId="2" numFmtId="164" xfId="0" applyAlignment="1" applyFont="1" applyNumberFormat="1">
      <alignment readingOrder="0" shrinkToFit="0" vertical="top" wrapText="1"/>
    </xf>
    <xf borderId="0" fillId="0" fontId="2" numFmtId="2" xfId="0" applyAlignment="1" applyFont="1" applyNumberFormat="1">
      <alignment shrinkToFit="0" vertical="top" wrapText="1"/>
    </xf>
    <xf borderId="0" fillId="0" fontId="2" numFmtId="166" xfId="0" applyAlignment="1" applyFont="1" applyNumberFormat="1">
      <alignment shrinkToFit="0" vertical="top" wrapText="1"/>
    </xf>
    <xf borderId="0" fillId="0" fontId="2" numFmtId="1" xfId="0" applyAlignment="1" applyFont="1" applyNumberFormat="1">
      <alignment shrinkToFit="0" vertical="top" wrapText="1"/>
    </xf>
  </cellXfs>
  <cellStyles count="1">
    <cellStyle xfId="0" name="Normal" builtinId="0"/>
  </cellStyles>
  <dxfs count="3">
    <dxf>
      <font>
        <b/>
        <color rgb="FF355E3B"/>
      </font>
      <fill>
        <patternFill patternType="solid">
          <fgColor rgb="FFE2F0D9"/>
          <bgColor rgb="FFE2F0D9"/>
        </patternFill>
      </fill>
      <border/>
    </dxf>
    <dxf>
      <font>
        <b/>
        <color rgb="FF7A5A00"/>
      </font>
      <fill>
        <patternFill patternType="solid">
          <fgColor rgb="FFFFF2CC"/>
          <bgColor rgb="FFFFF2CC"/>
        </patternFill>
      </fill>
      <border/>
    </dxf>
    <dxf>
      <font>
        <b/>
        <color rgb="FF9C2F22"/>
      </font>
      <fill>
        <patternFill patternType="solid">
          <fgColor rgb="FFFCE8E6"/>
          <bgColor rgb="FFFCE8E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customschemas.google.com/relationships/workbookmetadata" Target="metadata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18.0"/>
    <col customWidth="1" min="3" max="4" width="16.0"/>
    <col customWidth="1" min="5" max="5" width="22.0"/>
    <col customWidth="1" min="6" max="6" width="27.0"/>
    <col customWidth="1" min="7" max="7" width="15.0"/>
    <col customWidth="1" min="8" max="8" width="11.0"/>
    <col customWidth="1" min="9" max="9" width="15.0"/>
    <col customWidth="1" min="10" max="11" width="20.0"/>
    <col customWidth="1" min="12" max="12" width="22.0"/>
    <col customWidth="1" min="13" max="13" width="48.0"/>
    <col customWidth="1" min="14" max="26" width="8.63"/>
  </cols>
  <sheetData>
    <row r="1" ht="30.0" customHeight="1">
      <c r="A1" s="1" t="s">
        <v>1</v>
      </c>
    </row>
    <row r="2" ht="42.0" customHeight="1">
      <c r="A2" s="2" t="s">
        <v>5</v>
      </c>
    </row>
    <row r="3" ht="27.75" customHeight="1">
      <c r="A3" s="5" t="s">
        <v>7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</row>
    <row r="5" ht="31.5" customHeight="1">
      <c r="A5" s="7" t="s">
        <v>25</v>
      </c>
      <c r="B5" s="7" t="s">
        <v>9</v>
      </c>
      <c r="C5" s="7" t="s">
        <v>29</v>
      </c>
      <c r="D5" s="7" t="s">
        <v>32</v>
      </c>
      <c r="E5" s="7" t="s">
        <v>33</v>
      </c>
      <c r="F5" s="7" t="s">
        <v>35</v>
      </c>
      <c r="G5" s="7" t="s">
        <v>37</v>
      </c>
      <c r="H5" s="7" t="s">
        <v>13</v>
      </c>
      <c r="I5" s="7" t="s">
        <v>38</v>
      </c>
      <c r="J5" s="7" t="s">
        <v>24</v>
      </c>
      <c r="K5" s="7" t="s">
        <v>27</v>
      </c>
      <c r="L5" s="7" t="s">
        <v>41</v>
      </c>
      <c r="M5" s="7" t="s">
        <v>28</v>
      </c>
    </row>
    <row r="6" ht="36.0" customHeight="1">
      <c r="A6" s="8" t="s">
        <v>43</v>
      </c>
      <c r="B6" s="8" t="s">
        <v>34</v>
      </c>
      <c r="C6" s="8" t="s">
        <v>45</v>
      </c>
      <c r="D6" s="8" t="s">
        <v>46</v>
      </c>
      <c r="E6" s="8" t="s">
        <v>47</v>
      </c>
      <c r="F6" s="8" t="s">
        <v>49</v>
      </c>
      <c r="G6" s="9">
        <v>90.0</v>
      </c>
      <c r="H6" s="10">
        <v>0.21</v>
      </c>
      <c r="I6" s="9">
        <f t="shared" ref="I6:I19" si="1">IF(G6="","",G6*(1+H6))</f>
        <v>108.9</v>
      </c>
      <c r="J6" s="12">
        <v>46204.0</v>
      </c>
      <c r="K6" s="8" t="s">
        <v>54</v>
      </c>
      <c r="L6" s="8" t="s">
        <v>56</v>
      </c>
      <c r="M6" s="8" t="s">
        <v>62</v>
      </c>
    </row>
    <row r="7" ht="36.0" customHeight="1">
      <c r="A7" s="8" t="s">
        <v>63</v>
      </c>
      <c r="B7" s="8" t="s">
        <v>34</v>
      </c>
      <c r="C7" s="8" t="s">
        <v>65</v>
      </c>
      <c r="D7" s="8" t="s">
        <v>66</v>
      </c>
      <c r="E7" s="8" t="s">
        <v>47</v>
      </c>
      <c r="F7" s="8" t="s">
        <v>49</v>
      </c>
      <c r="G7" s="9">
        <v>342.0</v>
      </c>
      <c r="H7" s="10">
        <v>0.21</v>
      </c>
      <c r="I7" s="9">
        <f t="shared" si="1"/>
        <v>413.82</v>
      </c>
      <c r="J7" s="12">
        <v>46205.0</v>
      </c>
      <c r="K7" s="8" t="s">
        <v>54</v>
      </c>
      <c r="L7" s="8" t="s">
        <v>56</v>
      </c>
      <c r="M7" s="8" t="s">
        <v>62</v>
      </c>
    </row>
    <row r="8" ht="36.0" customHeight="1">
      <c r="A8" s="8" t="s">
        <v>74</v>
      </c>
      <c r="B8" s="8" t="s">
        <v>34</v>
      </c>
      <c r="C8" s="8" t="s">
        <v>76</v>
      </c>
      <c r="D8" s="8" t="s">
        <v>77</v>
      </c>
      <c r="E8" s="8" t="s">
        <v>47</v>
      </c>
      <c r="F8" s="8" t="s">
        <v>49</v>
      </c>
      <c r="G8" s="9">
        <v>648.0</v>
      </c>
      <c r="H8" s="10">
        <v>0.21</v>
      </c>
      <c r="I8" s="9">
        <f t="shared" si="1"/>
        <v>784.08</v>
      </c>
      <c r="J8" s="12">
        <v>46206.0</v>
      </c>
      <c r="K8" s="8" t="s">
        <v>54</v>
      </c>
      <c r="L8" s="8" t="s">
        <v>56</v>
      </c>
      <c r="M8" s="8" t="s">
        <v>62</v>
      </c>
    </row>
    <row r="9" ht="36.0" customHeight="1">
      <c r="A9" s="8" t="s">
        <v>88</v>
      </c>
      <c r="B9" s="8" t="s">
        <v>34</v>
      </c>
      <c r="C9" s="8" t="s">
        <v>45</v>
      </c>
      <c r="D9" s="8" t="s">
        <v>46</v>
      </c>
      <c r="E9" s="8" t="s">
        <v>47</v>
      </c>
      <c r="F9" s="8" t="s">
        <v>92</v>
      </c>
      <c r="G9" s="9">
        <v>130.0</v>
      </c>
      <c r="H9" s="10">
        <v>0.21</v>
      </c>
      <c r="I9" s="9">
        <f t="shared" si="1"/>
        <v>157.3</v>
      </c>
      <c r="J9" s="12">
        <v>46207.0</v>
      </c>
      <c r="K9" s="8" t="s">
        <v>54</v>
      </c>
      <c r="L9" s="8" t="s">
        <v>56</v>
      </c>
      <c r="M9" s="8" t="s">
        <v>62</v>
      </c>
    </row>
    <row r="10" ht="36.0" customHeight="1">
      <c r="A10" s="8" t="s">
        <v>98</v>
      </c>
      <c r="B10" s="8" t="s">
        <v>34</v>
      </c>
      <c r="C10" s="8" t="s">
        <v>45</v>
      </c>
      <c r="D10" s="8" t="s">
        <v>46</v>
      </c>
      <c r="E10" s="8" t="s">
        <v>100</v>
      </c>
      <c r="F10" s="8" t="s">
        <v>100</v>
      </c>
      <c r="G10" s="9">
        <v>180.0</v>
      </c>
      <c r="H10" s="10">
        <v>0.21</v>
      </c>
      <c r="I10" s="9">
        <f t="shared" si="1"/>
        <v>217.8</v>
      </c>
      <c r="J10" s="12">
        <v>46208.0</v>
      </c>
      <c r="K10" s="8" t="s">
        <v>54</v>
      </c>
      <c r="L10" s="8" t="s">
        <v>56</v>
      </c>
      <c r="M10" s="8" t="s">
        <v>62</v>
      </c>
    </row>
    <row r="11" ht="36.0" customHeight="1">
      <c r="A11" s="8" t="s">
        <v>105</v>
      </c>
      <c r="B11" s="8" t="s">
        <v>34</v>
      </c>
      <c r="C11" s="8" t="s">
        <v>65</v>
      </c>
      <c r="D11" s="8" t="s">
        <v>66</v>
      </c>
      <c r="E11" s="8" t="s">
        <v>100</v>
      </c>
      <c r="F11" s="8" t="s">
        <v>100</v>
      </c>
      <c r="G11" s="9">
        <v>684.0</v>
      </c>
      <c r="H11" s="10">
        <v>0.21</v>
      </c>
      <c r="I11" s="9">
        <f t="shared" si="1"/>
        <v>827.64</v>
      </c>
      <c r="J11" s="12">
        <v>46209.0</v>
      </c>
      <c r="K11" s="8" t="s">
        <v>54</v>
      </c>
      <c r="L11" s="8" t="s">
        <v>56</v>
      </c>
      <c r="M11" s="8" t="s">
        <v>62</v>
      </c>
    </row>
    <row r="12" ht="36.0" customHeight="1">
      <c r="A12" s="8" t="s">
        <v>112</v>
      </c>
      <c r="B12" s="8" t="s">
        <v>34</v>
      </c>
      <c r="C12" s="8" t="s">
        <v>76</v>
      </c>
      <c r="D12" s="8" t="s">
        <v>77</v>
      </c>
      <c r="E12" s="8" t="s">
        <v>100</v>
      </c>
      <c r="F12" s="8" t="s">
        <v>100</v>
      </c>
      <c r="G12" s="9">
        <v>1296.0</v>
      </c>
      <c r="H12" s="10">
        <v>0.21</v>
      </c>
      <c r="I12" s="9">
        <f t="shared" si="1"/>
        <v>1568.16</v>
      </c>
      <c r="J12" s="12">
        <v>46210.0</v>
      </c>
      <c r="K12" s="8" t="s">
        <v>54</v>
      </c>
      <c r="L12" s="8" t="s">
        <v>56</v>
      </c>
      <c r="M12" s="8" t="s">
        <v>62</v>
      </c>
    </row>
    <row r="13" ht="36.0" customHeight="1">
      <c r="A13" s="8" t="s">
        <v>119</v>
      </c>
      <c r="B13" s="8" t="s">
        <v>69</v>
      </c>
      <c r="C13" s="8" t="s">
        <v>45</v>
      </c>
      <c r="D13" s="8" t="s">
        <v>46</v>
      </c>
      <c r="E13" s="8" t="s">
        <v>47</v>
      </c>
      <c r="F13" s="8" t="s">
        <v>47</v>
      </c>
      <c r="G13" s="9">
        <v>450.0</v>
      </c>
      <c r="H13" s="10">
        <v>0.21</v>
      </c>
      <c r="I13" s="9">
        <f t="shared" si="1"/>
        <v>544.5</v>
      </c>
      <c r="J13" s="12">
        <v>46211.0</v>
      </c>
      <c r="K13" s="8" t="s">
        <v>54</v>
      </c>
      <c r="L13" s="8" t="s">
        <v>56</v>
      </c>
      <c r="M13" s="8" t="s">
        <v>124</v>
      </c>
    </row>
    <row r="14" ht="36.0" customHeight="1">
      <c r="A14" s="8" t="s">
        <v>125</v>
      </c>
      <c r="B14" s="8" t="s">
        <v>69</v>
      </c>
      <c r="C14" s="8" t="s">
        <v>65</v>
      </c>
      <c r="D14" s="8" t="s">
        <v>66</v>
      </c>
      <c r="E14" s="8" t="s">
        <v>47</v>
      </c>
      <c r="F14" s="8" t="s">
        <v>47</v>
      </c>
      <c r="G14" s="9">
        <v>1575.0</v>
      </c>
      <c r="H14" s="10">
        <v>0.21</v>
      </c>
      <c r="I14" s="9">
        <f t="shared" si="1"/>
        <v>1905.75</v>
      </c>
      <c r="J14" s="12">
        <v>46212.0</v>
      </c>
      <c r="K14" s="8" t="s">
        <v>54</v>
      </c>
      <c r="L14" s="8" t="s">
        <v>56</v>
      </c>
      <c r="M14" s="8" t="s">
        <v>124</v>
      </c>
    </row>
    <row r="15" ht="36.0" customHeight="1">
      <c r="A15" s="8" t="s">
        <v>126</v>
      </c>
      <c r="B15" s="8" t="s">
        <v>69</v>
      </c>
      <c r="C15" s="8" t="s">
        <v>76</v>
      </c>
      <c r="D15" s="8" t="s">
        <v>77</v>
      </c>
      <c r="E15" s="8" t="s">
        <v>47</v>
      </c>
      <c r="F15" s="8" t="s">
        <v>47</v>
      </c>
      <c r="G15" s="9">
        <v>3250.0</v>
      </c>
      <c r="H15" s="10">
        <v>0.21</v>
      </c>
      <c r="I15" s="9">
        <f t="shared" si="1"/>
        <v>3932.5</v>
      </c>
      <c r="J15" s="12">
        <v>46213.0</v>
      </c>
      <c r="K15" s="8" t="s">
        <v>54</v>
      </c>
      <c r="L15" s="8" t="s">
        <v>56</v>
      </c>
      <c r="M15" s="8" t="s">
        <v>124</v>
      </c>
    </row>
    <row r="16" ht="36.0" customHeight="1">
      <c r="A16" s="14" t="s">
        <v>127</v>
      </c>
      <c r="B16" s="14" t="s">
        <v>69</v>
      </c>
      <c r="C16" s="14" t="s">
        <v>45</v>
      </c>
      <c r="D16" s="14" t="s">
        <v>46</v>
      </c>
      <c r="E16" s="14" t="s">
        <v>100</v>
      </c>
      <c r="F16" s="14" t="s">
        <v>100</v>
      </c>
      <c r="G16" s="15">
        <v>545.0</v>
      </c>
      <c r="H16" s="16">
        <v>0.21</v>
      </c>
      <c r="I16" s="15">
        <f t="shared" si="1"/>
        <v>659.45</v>
      </c>
      <c r="J16" s="12">
        <v>46214.0</v>
      </c>
      <c r="K16" s="14" t="s">
        <v>54</v>
      </c>
      <c r="L16" s="14" t="s">
        <v>56</v>
      </c>
      <c r="M16" s="14" t="s">
        <v>124</v>
      </c>
    </row>
    <row r="17" ht="36.0" customHeight="1">
      <c r="A17" s="14" t="s">
        <v>128</v>
      </c>
      <c r="B17" s="14" t="s">
        <v>69</v>
      </c>
      <c r="C17" s="14" t="s">
        <v>65</v>
      </c>
      <c r="D17" s="14" t="s">
        <v>66</v>
      </c>
      <c r="E17" s="14" t="s">
        <v>100</v>
      </c>
      <c r="F17" s="14" t="s">
        <v>100</v>
      </c>
      <c r="G17" s="15">
        <v>1975.0</v>
      </c>
      <c r="H17" s="16">
        <v>0.21</v>
      </c>
      <c r="I17" s="15">
        <f t="shared" si="1"/>
        <v>2389.75</v>
      </c>
      <c r="J17" s="12">
        <v>46215.0</v>
      </c>
      <c r="K17" s="14" t="s">
        <v>54</v>
      </c>
      <c r="L17" s="14" t="s">
        <v>56</v>
      </c>
      <c r="M17" s="14" t="s">
        <v>124</v>
      </c>
    </row>
    <row r="18" ht="36.0" customHeight="1">
      <c r="A18" s="14" t="s">
        <v>129</v>
      </c>
      <c r="B18" s="14" t="s">
        <v>69</v>
      </c>
      <c r="C18" s="14" t="s">
        <v>76</v>
      </c>
      <c r="D18" s="14" t="s">
        <v>77</v>
      </c>
      <c r="E18" s="14" t="s">
        <v>100</v>
      </c>
      <c r="F18" s="14" t="s">
        <v>100</v>
      </c>
      <c r="G18" s="15">
        <v>4050.0</v>
      </c>
      <c r="H18" s="16">
        <v>0.21</v>
      </c>
      <c r="I18" s="15">
        <f t="shared" si="1"/>
        <v>4900.5</v>
      </c>
      <c r="J18" s="12">
        <v>46216.0</v>
      </c>
      <c r="K18" s="14" t="s">
        <v>54</v>
      </c>
      <c r="L18" s="14" t="s">
        <v>56</v>
      </c>
      <c r="M18" s="14" t="s">
        <v>124</v>
      </c>
    </row>
    <row r="19" ht="36.0" customHeight="1">
      <c r="A19" s="14" t="s">
        <v>130</v>
      </c>
      <c r="B19" s="14" t="s">
        <v>131</v>
      </c>
      <c r="C19" s="14" t="s">
        <v>132</v>
      </c>
      <c r="D19" s="14" t="s">
        <v>46</v>
      </c>
      <c r="E19" s="14" t="s">
        <v>133</v>
      </c>
      <c r="F19" s="14" t="s">
        <v>134</v>
      </c>
      <c r="G19" s="15">
        <v>75.0</v>
      </c>
      <c r="H19" s="16">
        <v>0.21</v>
      </c>
      <c r="I19" s="15">
        <f t="shared" si="1"/>
        <v>90.75</v>
      </c>
      <c r="J19" s="12">
        <v>46217.0</v>
      </c>
      <c r="K19" s="17" t="s">
        <v>135</v>
      </c>
      <c r="L19" s="14" t="s">
        <v>56</v>
      </c>
      <c r="M19" s="14" t="s">
        <v>136</v>
      </c>
    </row>
    <row r="20" ht="15.75" customHeight="1">
      <c r="A20" s="14" t="s">
        <v>130</v>
      </c>
      <c r="B20" s="18" t="s">
        <v>137</v>
      </c>
      <c r="C20" s="18" t="s">
        <v>138</v>
      </c>
      <c r="D20" s="18" t="s">
        <v>77</v>
      </c>
      <c r="E20" s="14" t="s">
        <v>133</v>
      </c>
      <c r="F20" s="14" t="s">
        <v>133</v>
      </c>
      <c r="G20" s="19">
        <v>300.0</v>
      </c>
      <c r="H20" s="16">
        <v>0.21</v>
      </c>
      <c r="I20" s="20">
        <f>IF(G20="","",G20*(1+H20))</f>
        <v>363</v>
      </c>
      <c r="J20" s="12">
        <v>46218.0</v>
      </c>
      <c r="K20" s="18" t="s">
        <v>135</v>
      </c>
      <c r="M20" s="18" t="s">
        <v>139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3">
    <mergeCell ref="A1:M1"/>
    <mergeCell ref="A2:M2"/>
    <mergeCell ref="A3:M3"/>
  </mergeCells>
  <conditionalFormatting sqref="K6:K15">
    <cfRule type="expression" dxfId="0" priority="1">
      <formula>ISNUMBER(SEARCH("Final",K6))</formula>
    </cfRule>
  </conditionalFormatting>
  <conditionalFormatting sqref="K6:K15">
    <cfRule type="expression" dxfId="1" priority="2">
      <formula>ISNUMBER(SEARCH("Working",K6))</formula>
    </cfRule>
  </conditionalFormatting>
  <conditionalFormatting sqref="K6:K15">
    <cfRule type="expression" dxfId="2" priority="3">
      <formula>OR(ISNUMBER(SEARCH("TBC",K6)),ISNUMBER(SEARCH("confirm",K6)))</formula>
    </cfRule>
  </conditionalFormatting>
  <dataValidations>
    <dataValidation type="list" allowBlank="1" sqref="K6:K15">
      <formula1>"Final,Final — custom quote only,Working — verify from 2026 lookbook,TBC"</formula1>
    </dataValidation>
    <dataValidation type="list" allowBlank="1" sqref="L6:L15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18.0"/>
    <col customWidth="1" min="3" max="3" width="16.0"/>
    <col customWidth="1" min="4" max="4" width="14.0"/>
    <col customWidth="1" min="5" max="5" width="10.0"/>
    <col customWidth="1" min="6" max="7" width="14.0"/>
    <col customWidth="1" min="8" max="8" width="24.0"/>
    <col customWidth="1" min="9" max="9" width="14.0"/>
    <col customWidth="1" min="10" max="10" width="18.0"/>
    <col customWidth="1" min="11" max="11" width="13.0"/>
    <col customWidth="1" min="12" max="12" width="12.0"/>
    <col customWidth="1" min="13" max="13" width="32.0"/>
    <col customWidth="1" min="14" max="26" width="8.63"/>
  </cols>
  <sheetData>
    <row r="1" ht="30.0" customHeight="1">
      <c r="A1" s="1" t="s">
        <v>0</v>
      </c>
    </row>
    <row r="2" ht="42.0" customHeight="1">
      <c r="A2" s="2" t="s">
        <v>3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ht="31.5" customHeight="1">
      <c r="A5" s="7" t="s">
        <v>8</v>
      </c>
      <c r="B5" s="7" t="s">
        <v>9</v>
      </c>
      <c r="C5" s="7" t="s">
        <v>10</v>
      </c>
      <c r="D5" s="7" t="s">
        <v>11</v>
      </c>
      <c r="E5" s="7" t="s">
        <v>13</v>
      </c>
      <c r="F5" s="7" t="s">
        <v>15</v>
      </c>
      <c r="G5" s="7" t="s">
        <v>17</v>
      </c>
      <c r="H5" s="7" t="s">
        <v>18</v>
      </c>
      <c r="I5" s="7" t="s">
        <v>20</v>
      </c>
      <c r="J5" s="7" t="s">
        <v>22</v>
      </c>
      <c r="K5" s="7" t="s">
        <v>24</v>
      </c>
      <c r="L5" s="7" t="s">
        <v>27</v>
      </c>
      <c r="M5" s="7" t="s">
        <v>28</v>
      </c>
    </row>
    <row r="6">
      <c r="A6" s="8" t="s">
        <v>31</v>
      </c>
      <c r="B6" s="8" t="s">
        <v>34</v>
      </c>
      <c r="C6" s="8" t="s">
        <v>36</v>
      </c>
      <c r="D6" s="9">
        <v>50.0</v>
      </c>
      <c r="E6" s="10">
        <v>0.21</v>
      </c>
      <c r="F6" s="9">
        <f t="shared" ref="F6:F10" si="1">IF(OR(D6="",E6=""),"",D6*(1+E6))</f>
        <v>60.5</v>
      </c>
      <c r="G6" s="8" t="s">
        <v>51</v>
      </c>
      <c r="H6" s="8" t="s">
        <v>52</v>
      </c>
      <c r="I6" s="8" t="s">
        <v>56</v>
      </c>
      <c r="J6" s="8" t="s">
        <v>57</v>
      </c>
      <c r="K6" s="11" t="s">
        <v>53</v>
      </c>
      <c r="L6" s="8" t="s">
        <v>54</v>
      </c>
      <c r="M6" s="8" t="s">
        <v>58</v>
      </c>
    </row>
    <row r="7">
      <c r="A7" s="8" t="s">
        <v>59</v>
      </c>
      <c r="B7" s="8" t="s">
        <v>34</v>
      </c>
      <c r="C7" s="8" t="s">
        <v>60</v>
      </c>
      <c r="D7" s="9">
        <v>75.0</v>
      </c>
      <c r="E7" s="10">
        <v>0.21</v>
      </c>
      <c r="F7" s="9">
        <f t="shared" si="1"/>
        <v>90.75</v>
      </c>
      <c r="G7" s="8" t="s">
        <v>51</v>
      </c>
      <c r="H7" s="8" t="s">
        <v>52</v>
      </c>
      <c r="I7" s="8" t="s">
        <v>56</v>
      </c>
      <c r="J7" s="8" t="s">
        <v>57</v>
      </c>
      <c r="K7" s="11" t="s">
        <v>53</v>
      </c>
      <c r="L7" s="8" t="s">
        <v>54</v>
      </c>
      <c r="M7" s="8" t="s">
        <v>58</v>
      </c>
    </row>
    <row r="8">
      <c r="A8" s="8" t="s">
        <v>68</v>
      </c>
      <c r="B8" s="8" t="s">
        <v>69</v>
      </c>
      <c r="C8" s="8" t="s">
        <v>36</v>
      </c>
      <c r="D8" s="9">
        <v>100.0</v>
      </c>
      <c r="E8" s="10">
        <v>0.21</v>
      </c>
      <c r="F8" s="9">
        <f t="shared" si="1"/>
        <v>121</v>
      </c>
      <c r="G8" s="8" t="s">
        <v>51</v>
      </c>
      <c r="H8" s="8" t="s">
        <v>52</v>
      </c>
      <c r="I8" s="8" t="s">
        <v>56</v>
      </c>
      <c r="J8" s="8" t="s">
        <v>57</v>
      </c>
      <c r="K8" s="11" t="s">
        <v>53</v>
      </c>
      <c r="L8" s="8" t="s">
        <v>54</v>
      </c>
      <c r="M8" s="8" t="s">
        <v>75</v>
      </c>
    </row>
    <row r="9">
      <c r="A9" s="8" t="s">
        <v>78</v>
      </c>
      <c r="B9" s="8" t="s">
        <v>69</v>
      </c>
      <c r="C9" s="8" t="s">
        <v>80</v>
      </c>
      <c r="D9" s="9">
        <v>250.0</v>
      </c>
      <c r="E9" s="10">
        <v>0.21</v>
      </c>
      <c r="F9" s="9">
        <f t="shared" si="1"/>
        <v>302.5</v>
      </c>
      <c r="G9" s="8" t="s">
        <v>51</v>
      </c>
      <c r="H9" s="8" t="s">
        <v>52</v>
      </c>
      <c r="I9" s="8" t="s">
        <v>56</v>
      </c>
      <c r="J9" s="8" t="s">
        <v>57</v>
      </c>
      <c r="K9" s="11" t="s">
        <v>53</v>
      </c>
      <c r="L9" s="8" t="s">
        <v>54</v>
      </c>
      <c r="M9" s="8" t="s">
        <v>75</v>
      </c>
    </row>
    <row r="10">
      <c r="A10" s="8" t="s">
        <v>89</v>
      </c>
      <c r="B10" s="8" t="s">
        <v>69</v>
      </c>
      <c r="C10" s="8" t="s">
        <v>90</v>
      </c>
      <c r="D10" s="9">
        <v>0.0</v>
      </c>
      <c r="E10" s="10">
        <v>0.21</v>
      </c>
      <c r="F10" s="9">
        <f t="shared" si="1"/>
        <v>0</v>
      </c>
      <c r="G10" s="8" t="s">
        <v>95</v>
      </c>
      <c r="H10" s="8" t="s">
        <v>95</v>
      </c>
      <c r="I10" s="8" t="s">
        <v>95</v>
      </c>
      <c r="J10" s="8" t="s">
        <v>96</v>
      </c>
      <c r="K10" s="11" t="s">
        <v>53</v>
      </c>
      <c r="L10" s="8" t="s">
        <v>54</v>
      </c>
      <c r="M10" s="8" t="s">
        <v>99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M1"/>
    <mergeCell ref="A2:M2"/>
    <mergeCell ref="A3:M3"/>
  </mergeCells>
  <conditionalFormatting sqref="L6:L10">
    <cfRule type="expression" dxfId="0" priority="1">
      <formula>ISNUMBER(SEARCH("Final",L6))</formula>
    </cfRule>
  </conditionalFormatting>
  <conditionalFormatting sqref="L6:L10">
    <cfRule type="expression" dxfId="1" priority="2">
      <formula>ISNUMBER(SEARCH("Working",L6))</formula>
    </cfRule>
  </conditionalFormatting>
  <conditionalFormatting sqref="L6:L10">
    <cfRule type="expression" dxfId="2" priority="3">
      <formula>OR(ISNUMBER(SEARCH("TBC",L6)),ISNUMBER(SEARCH("confirm",L6)))</formula>
    </cfRule>
  </conditionalFormatting>
  <dataValidations>
    <dataValidation type="list" allowBlank="1" sqref="L6:L10">
      <formula1>"Final,Working,TBC"</formula1>
    </dataValidation>
    <dataValidation type="list" allowBlank="1" sqref="G6:G10 I6:I10">
      <formula1>"Yes,No,Not applicable"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18.0"/>
    <col customWidth="1" min="3" max="3" width="28.0"/>
    <col customWidth="1" min="4" max="4" width="19.0"/>
    <col customWidth="1" min="5" max="5" width="10.0"/>
    <col customWidth="1" min="6" max="6" width="24.0"/>
    <col customWidth="1" min="7" max="7" width="44.0"/>
    <col customWidth="1" min="8" max="8" width="10.0"/>
    <col customWidth="1" min="9" max="9" width="12.0"/>
    <col customWidth="1" min="10" max="10" width="24.0"/>
    <col customWidth="1" min="11" max="11" width="13.0"/>
    <col customWidth="1" min="12" max="12" width="12.0"/>
    <col customWidth="1" min="13" max="13" width="38.0"/>
    <col customWidth="1" min="14" max="26" width="8.63"/>
  </cols>
  <sheetData>
    <row r="1" ht="30.0" customHeight="1">
      <c r="A1" s="1" t="s">
        <v>2</v>
      </c>
    </row>
    <row r="2" ht="42.0" customHeight="1">
      <c r="A2" s="2" t="s">
        <v>4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ht="31.5" customHeight="1">
      <c r="A5" s="7" t="s">
        <v>12</v>
      </c>
      <c r="B5" s="7" t="s">
        <v>14</v>
      </c>
      <c r="C5" s="7" t="s">
        <v>16</v>
      </c>
      <c r="D5" s="7" t="s">
        <v>19</v>
      </c>
      <c r="E5" s="7" t="s">
        <v>21</v>
      </c>
      <c r="F5" s="7" t="s">
        <v>23</v>
      </c>
      <c r="G5" s="7" t="s">
        <v>26</v>
      </c>
      <c r="H5" s="7" t="s">
        <v>13</v>
      </c>
      <c r="I5" s="7" t="s">
        <v>30</v>
      </c>
      <c r="J5" s="7" t="s">
        <v>18</v>
      </c>
      <c r="K5" s="7" t="s">
        <v>24</v>
      </c>
      <c r="L5" s="7" t="s">
        <v>27</v>
      </c>
      <c r="M5" s="7" t="s">
        <v>28</v>
      </c>
    </row>
    <row r="6">
      <c r="A6" s="8" t="s">
        <v>39</v>
      </c>
      <c r="B6" s="8" t="s">
        <v>40</v>
      </c>
      <c r="C6" s="8" t="s">
        <v>42</v>
      </c>
      <c r="D6" s="8" t="s">
        <v>44</v>
      </c>
      <c r="E6" s="10">
        <v>0.1</v>
      </c>
      <c r="F6" s="8" t="s">
        <v>48</v>
      </c>
      <c r="G6" s="8" t="s">
        <v>50</v>
      </c>
      <c r="H6" s="10">
        <v>0.21</v>
      </c>
      <c r="I6" s="8" t="s">
        <v>51</v>
      </c>
      <c r="J6" s="8" t="s">
        <v>52</v>
      </c>
      <c r="K6" s="11" t="s">
        <v>53</v>
      </c>
      <c r="L6" s="8" t="s">
        <v>54</v>
      </c>
      <c r="M6" s="8" t="s">
        <v>55</v>
      </c>
    </row>
    <row r="7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</row>
    <row r="8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>
      <c r="A9" s="13" t="s">
        <v>67</v>
      </c>
    </row>
    <row r="10">
      <c r="A10" s="7" t="s">
        <v>70</v>
      </c>
      <c r="B10" s="7" t="s">
        <v>21</v>
      </c>
      <c r="C10" s="7" t="s">
        <v>71</v>
      </c>
      <c r="D10" s="7" t="s">
        <v>13</v>
      </c>
      <c r="E10" s="7" t="s">
        <v>72</v>
      </c>
      <c r="F10" s="7" t="s">
        <v>73</v>
      </c>
      <c r="G10" s="4"/>
      <c r="H10" s="4"/>
      <c r="I10" s="4"/>
      <c r="J10" s="4"/>
      <c r="K10" s="4"/>
      <c r="L10" s="4"/>
      <c r="M10" s="4"/>
    </row>
    <row r="11">
      <c r="A11" s="9">
        <v>1000.0</v>
      </c>
      <c r="B11" s="10">
        <v>0.1</v>
      </c>
      <c r="C11" s="9">
        <f>A11*B11</f>
        <v>100</v>
      </c>
      <c r="D11" s="10">
        <v>0.21</v>
      </c>
      <c r="E11" s="9">
        <f>C11*D11</f>
        <v>21</v>
      </c>
      <c r="F11" s="9">
        <f>C11+E11</f>
        <v>121</v>
      </c>
      <c r="G11" s="4"/>
      <c r="H11" s="4"/>
      <c r="I11" s="4"/>
      <c r="J11" s="4"/>
      <c r="K11" s="4"/>
      <c r="L11" s="4"/>
      <c r="M11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M1"/>
    <mergeCell ref="A2:M2"/>
    <mergeCell ref="A3:M3"/>
    <mergeCell ref="A9:M9"/>
  </mergeCells>
  <conditionalFormatting sqref="L6">
    <cfRule type="expression" dxfId="0" priority="1">
      <formula>ISNUMBER(SEARCH("Final",L6))</formula>
    </cfRule>
  </conditionalFormatting>
  <conditionalFormatting sqref="L6">
    <cfRule type="expression" dxfId="1" priority="2">
      <formula>ISNUMBER(SEARCH("Working",L6))</formula>
    </cfRule>
  </conditionalFormatting>
  <conditionalFormatting sqref="L6">
    <cfRule type="expression" dxfId="2" priority="3">
      <formula>OR(ISNUMBER(SEARCH("TBC",L6)),ISNUMBER(SEARCH("confirm",L6)))</formula>
    </cfRule>
  </conditionalFormatting>
  <dataValidations>
    <dataValidation type="list" allowBlank="1" sqref="L6">
      <formula1>"Final,Working,TBC"</formula1>
    </dataValidation>
    <dataValidation type="list" allowBlank="1" sqref="I6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5.0"/>
    <col customWidth="1" min="3" max="3" width="16.0"/>
    <col customWidth="1" min="4" max="4" width="15.0"/>
    <col customWidth="1" min="5" max="5" width="10.0"/>
    <col customWidth="1" min="6" max="6" width="13.0"/>
    <col customWidth="1" min="7" max="7" width="14.0"/>
    <col customWidth="1" min="8" max="8" width="45.0"/>
    <col customWidth="1" min="9" max="9" width="22.0"/>
    <col customWidth="1" min="10" max="10" width="13.0"/>
    <col customWidth="1" min="11" max="11" width="12.0"/>
    <col customWidth="1" min="12" max="12" width="36.0"/>
    <col customWidth="1" min="13" max="26" width="8.63"/>
  </cols>
  <sheetData>
    <row r="1" ht="30.0" customHeight="1">
      <c r="A1" s="1" t="s">
        <v>61</v>
      </c>
    </row>
    <row r="2" ht="42.0" customHeight="1">
      <c r="A2" s="2" t="s">
        <v>64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ht="31.5" customHeight="1">
      <c r="A5" s="7" t="s">
        <v>79</v>
      </c>
      <c r="B5" s="7" t="s">
        <v>81</v>
      </c>
      <c r="C5" s="7" t="s">
        <v>82</v>
      </c>
      <c r="D5" s="7" t="s">
        <v>83</v>
      </c>
      <c r="E5" s="7" t="s">
        <v>84</v>
      </c>
      <c r="F5" s="7" t="s">
        <v>20</v>
      </c>
      <c r="G5" s="7" t="s">
        <v>85</v>
      </c>
      <c r="H5" s="7" t="s">
        <v>86</v>
      </c>
      <c r="I5" s="7" t="s">
        <v>87</v>
      </c>
      <c r="J5" s="7" t="s">
        <v>24</v>
      </c>
      <c r="K5" s="7" t="s">
        <v>27</v>
      </c>
      <c r="L5" s="7" t="s">
        <v>28</v>
      </c>
    </row>
    <row r="6">
      <c r="A6" s="8" t="s">
        <v>91</v>
      </c>
      <c r="B6" s="8" t="s">
        <v>93</v>
      </c>
      <c r="C6" s="8" t="s">
        <v>94</v>
      </c>
      <c r="D6" s="9">
        <v>0.0</v>
      </c>
      <c r="E6" s="8" t="s">
        <v>97</v>
      </c>
      <c r="F6" s="8" t="s">
        <v>95</v>
      </c>
      <c r="G6" s="8" t="s">
        <v>95</v>
      </c>
      <c r="H6" s="8" t="s">
        <v>95</v>
      </c>
      <c r="I6" s="8" t="s">
        <v>95</v>
      </c>
      <c r="J6" s="12">
        <v>46204.0</v>
      </c>
      <c r="K6" s="8" t="s">
        <v>54</v>
      </c>
      <c r="L6" s="8" t="s">
        <v>101</v>
      </c>
    </row>
    <row r="7">
      <c r="A7" s="8" t="s">
        <v>102</v>
      </c>
      <c r="B7" s="8" t="s">
        <v>103</v>
      </c>
      <c r="C7" s="8" t="s">
        <v>104</v>
      </c>
      <c r="D7" s="9">
        <v>500.0</v>
      </c>
      <c r="E7" s="8" t="s">
        <v>97</v>
      </c>
      <c r="F7" s="8" t="s">
        <v>51</v>
      </c>
      <c r="G7" s="11" t="s">
        <v>106</v>
      </c>
      <c r="H7" s="8" t="s">
        <v>107</v>
      </c>
      <c r="I7" s="11" t="s">
        <v>108</v>
      </c>
      <c r="J7" s="12">
        <v>46205.0</v>
      </c>
      <c r="K7" s="8" t="s">
        <v>54</v>
      </c>
      <c r="L7" s="8" t="s">
        <v>109</v>
      </c>
    </row>
    <row r="8">
      <c r="A8" s="8" t="s">
        <v>110</v>
      </c>
      <c r="B8" s="8" t="s">
        <v>111</v>
      </c>
      <c r="C8" s="8" t="s">
        <v>104</v>
      </c>
      <c r="D8" s="9">
        <v>2000.0</v>
      </c>
      <c r="E8" s="8" t="s">
        <v>97</v>
      </c>
      <c r="F8" s="8" t="s">
        <v>51</v>
      </c>
      <c r="G8" s="11" t="s">
        <v>106</v>
      </c>
      <c r="H8" s="8" t="s">
        <v>107</v>
      </c>
      <c r="I8" s="11" t="s">
        <v>113</v>
      </c>
      <c r="J8" s="12">
        <v>46206.0</v>
      </c>
      <c r="K8" s="8" t="s">
        <v>54</v>
      </c>
      <c r="L8" s="8" t="s">
        <v>114</v>
      </c>
    </row>
    <row r="9">
      <c r="A9" s="8" t="s">
        <v>115</v>
      </c>
      <c r="B9" s="8" t="s">
        <v>116</v>
      </c>
      <c r="C9" s="8" t="s">
        <v>117</v>
      </c>
      <c r="D9" s="9"/>
      <c r="E9" s="8" t="s">
        <v>97</v>
      </c>
      <c r="F9" s="8" t="s">
        <v>118</v>
      </c>
      <c r="G9" s="8" t="s">
        <v>120</v>
      </c>
      <c r="H9" s="8" t="s">
        <v>121</v>
      </c>
      <c r="I9" s="11" t="s">
        <v>113</v>
      </c>
      <c r="J9" s="12">
        <v>46207.0</v>
      </c>
      <c r="K9" s="8" t="s">
        <v>122</v>
      </c>
      <c r="L9" s="8" t="s">
        <v>123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L1"/>
    <mergeCell ref="A2:L2"/>
    <mergeCell ref="A3:L3"/>
  </mergeCells>
  <conditionalFormatting sqref="K6:K9">
    <cfRule type="expression" dxfId="0" priority="1">
      <formula>ISNUMBER(SEARCH("Final",K6))</formula>
    </cfRule>
  </conditionalFormatting>
  <conditionalFormatting sqref="K6:K9">
    <cfRule type="expression" dxfId="1" priority="2">
      <formula>ISNUMBER(SEARCH("Working",K6))</formula>
    </cfRule>
  </conditionalFormatting>
  <conditionalFormatting sqref="K6:K9">
    <cfRule type="expression" dxfId="2" priority="3">
      <formula>OR(ISNUMBER(SEARCH("TBC",K6)),ISNUMBER(SEARCH("confirm",K6)))</formula>
    </cfRule>
  </conditionalFormatting>
  <dataValidations>
    <dataValidation type="list" allowBlank="1" sqref="K6:K9">
      <formula1>"Final,Working,TBC"</formula1>
    </dataValidation>
    <dataValidation type="list" allowBlank="1" sqref="F6:F9">
      <formula1>"Yes,No,Usually,Not applicable"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17.0"/>
    <col customWidth="1" min="3" max="3" width="28.0"/>
    <col customWidth="1" min="4" max="4" width="25.0"/>
    <col customWidth="1" min="5" max="5" width="14.0"/>
    <col customWidth="1" min="6" max="6" width="10.0"/>
    <col customWidth="1" min="7" max="7" width="15.0"/>
    <col customWidth="1" min="8" max="9" width="16.0"/>
    <col customWidth="1" min="10" max="10" width="28.0"/>
    <col customWidth="1" min="11" max="11" width="25.0"/>
    <col customWidth="1" min="12" max="12" width="13.0"/>
    <col customWidth="1" min="13" max="13" width="12.0"/>
    <col customWidth="1" min="14" max="14" width="42.0"/>
    <col customWidth="1" min="15" max="26" width="8.63"/>
  </cols>
  <sheetData>
    <row r="1" ht="30.0" customHeight="1">
      <c r="A1" s="1" t="s">
        <v>140</v>
      </c>
    </row>
    <row r="2" ht="42.0" customHeight="1">
      <c r="A2" s="2" t="s">
        <v>141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ht="31.5" customHeight="1">
      <c r="A5" s="7" t="s">
        <v>142</v>
      </c>
      <c r="B5" s="7" t="s">
        <v>143</v>
      </c>
      <c r="C5" s="7" t="s">
        <v>14</v>
      </c>
      <c r="D5" s="7" t="s">
        <v>144</v>
      </c>
      <c r="E5" s="7" t="s">
        <v>145</v>
      </c>
      <c r="F5" s="7" t="s">
        <v>13</v>
      </c>
      <c r="G5" s="7" t="s">
        <v>146</v>
      </c>
      <c r="H5" s="7" t="s">
        <v>147</v>
      </c>
      <c r="I5" s="7" t="s">
        <v>148</v>
      </c>
      <c r="J5" s="7" t="s">
        <v>150</v>
      </c>
      <c r="K5" s="7" t="s">
        <v>151</v>
      </c>
      <c r="L5" s="7" t="s">
        <v>24</v>
      </c>
      <c r="M5" s="7" t="s">
        <v>27</v>
      </c>
      <c r="N5" s="7" t="s">
        <v>28</v>
      </c>
    </row>
    <row r="6">
      <c r="A6" s="8" t="s">
        <v>153</v>
      </c>
      <c r="B6" s="8" t="s">
        <v>154</v>
      </c>
      <c r="C6" s="8" t="s">
        <v>34</v>
      </c>
      <c r="D6" s="8" t="s">
        <v>155</v>
      </c>
      <c r="E6" s="9"/>
      <c r="F6" s="10">
        <v>0.21</v>
      </c>
      <c r="G6" s="8" t="s">
        <v>156</v>
      </c>
      <c r="H6" s="8" t="s">
        <v>156</v>
      </c>
      <c r="I6" s="8" t="s">
        <v>156</v>
      </c>
      <c r="J6" s="8" t="s">
        <v>157</v>
      </c>
      <c r="K6" s="8" t="s">
        <v>158</v>
      </c>
      <c r="L6" s="12">
        <v>46204.0</v>
      </c>
      <c r="M6" s="8" t="s">
        <v>54</v>
      </c>
      <c r="N6" s="8" t="s">
        <v>159</v>
      </c>
    </row>
    <row r="7">
      <c r="A7" s="8" t="s">
        <v>161</v>
      </c>
      <c r="B7" s="8" t="s">
        <v>154</v>
      </c>
      <c r="C7" s="11" t="s">
        <v>164</v>
      </c>
      <c r="D7" s="8" t="s">
        <v>166</v>
      </c>
      <c r="E7" s="9">
        <v>400.0</v>
      </c>
      <c r="F7" s="10">
        <v>0.21</v>
      </c>
      <c r="G7" s="8" t="s">
        <v>156</v>
      </c>
      <c r="H7" s="8" t="s">
        <v>168</v>
      </c>
      <c r="I7" s="8" t="s">
        <v>168</v>
      </c>
      <c r="J7" s="8" t="s">
        <v>157</v>
      </c>
      <c r="K7" s="8" t="s">
        <v>158</v>
      </c>
      <c r="L7" s="12">
        <v>46205.0</v>
      </c>
      <c r="M7" s="8" t="s">
        <v>54</v>
      </c>
      <c r="N7" s="8" t="s">
        <v>172</v>
      </c>
    </row>
    <row r="8">
      <c r="A8" s="8" t="s">
        <v>174</v>
      </c>
      <c r="B8" s="8" t="s">
        <v>154</v>
      </c>
      <c r="C8" s="11" t="s">
        <v>175</v>
      </c>
      <c r="D8" s="8" t="s">
        <v>166</v>
      </c>
      <c r="E8" s="9">
        <v>495.0</v>
      </c>
      <c r="F8" s="10">
        <v>0.21</v>
      </c>
      <c r="G8" s="8" t="s">
        <v>156</v>
      </c>
      <c r="H8" s="8" t="s">
        <v>168</v>
      </c>
      <c r="I8" s="8" t="s">
        <v>168</v>
      </c>
      <c r="J8" s="8" t="s">
        <v>157</v>
      </c>
      <c r="K8" s="8" t="s">
        <v>158</v>
      </c>
      <c r="L8" s="12">
        <v>46206.0</v>
      </c>
      <c r="M8" s="8" t="s">
        <v>54</v>
      </c>
      <c r="N8" s="8" t="s">
        <v>172</v>
      </c>
    </row>
    <row r="9">
      <c r="A9" s="8" t="s">
        <v>182</v>
      </c>
      <c r="B9" s="8" t="s">
        <v>184</v>
      </c>
      <c r="C9" s="8" t="s">
        <v>186</v>
      </c>
      <c r="D9" s="8" t="s">
        <v>187</v>
      </c>
      <c r="E9" s="9">
        <v>35.0</v>
      </c>
      <c r="F9" s="10">
        <v>0.21</v>
      </c>
      <c r="G9" s="8" t="s">
        <v>156</v>
      </c>
      <c r="H9" s="8" t="s">
        <v>196</v>
      </c>
      <c r="I9" s="8" t="s">
        <v>196</v>
      </c>
      <c r="J9" s="8" t="s">
        <v>200</v>
      </c>
      <c r="K9" s="8" t="s">
        <v>203</v>
      </c>
      <c r="L9" s="12">
        <v>46207.0</v>
      </c>
      <c r="M9" s="8" t="s">
        <v>54</v>
      </c>
      <c r="N9" s="8" t="s">
        <v>209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N1"/>
    <mergeCell ref="A2:N2"/>
    <mergeCell ref="A3:N3"/>
  </mergeCells>
  <conditionalFormatting sqref="M6:M9">
    <cfRule type="expression" dxfId="0" priority="1">
      <formula>ISNUMBER(SEARCH("Final",M6))</formula>
    </cfRule>
  </conditionalFormatting>
  <conditionalFormatting sqref="M6:M9">
    <cfRule type="expression" dxfId="1" priority="2">
      <formula>ISNUMBER(SEARCH("Working",M6))</formula>
    </cfRule>
  </conditionalFormatting>
  <conditionalFormatting sqref="M6:M9">
    <cfRule type="expression" dxfId="2" priority="3">
      <formula>OR(ISNUMBER(SEARCH("TBC",M6)),ISNUMBER(SEARCH("confirm",M6)))</formula>
    </cfRule>
  </conditionalFormatting>
  <dataValidations>
    <dataValidation type="list" allowBlank="1" sqref="M6:M9">
      <formula1>"Final,Working,TBC"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4.0"/>
    <col customWidth="1" min="3" max="3" width="56.0"/>
    <col customWidth="1" min="4" max="4" width="18.0"/>
    <col customWidth="1" min="5" max="5" width="22.0"/>
    <col customWidth="1" min="6" max="6" width="26.0"/>
    <col customWidth="1" min="7" max="7" width="28.0"/>
    <col customWidth="1" min="8" max="8" width="24.0"/>
    <col customWidth="1" min="9" max="9" width="13.0"/>
    <col customWidth="1" min="10" max="10" width="12.0"/>
    <col customWidth="1" min="11" max="11" width="38.0"/>
    <col customWidth="1" min="12" max="26" width="8.63"/>
  </cols>
  <sheetData>
    <row r="1" ht="30.0" customHeight="1">
      <c r="A1" s="1" t="s">
        <v>149</v>
      </c>
    </row>
    <row r="2" ht="42.0" customHeight="1">
      <c r="A2" s="2" t="s">
        <v>152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ht="31.5" customHeight="1">
      <c r="A5" s="7" t="s">
        <v>12</v>
      </c>
      <c r="B5" s="7" t="s">
        <v>160</v>
      </c>
      <c r="C5" s="7" t="s">
        <v>162</v>
      </c>
      <c r="D5" s="7" t="s">
        <v>163</v>
      </c>
      <c r="E5" s="7" t="s">
        <v>165</v>
      </c>
      <c r="F5" s="7" t="s">
        <v>14</v>
      </c>
      <c r="G5" s="7" t="s">
        <v>167</v>
      </c>
      <c r="H5" s="7" t="s">
        <v>18</v>
      </c>
      <c r="I5" s="7" t="s">
        <v>24</v>
      </c>
      <c r="J5" s="7" t="s">
        <v>27</v>
      </c>
      <c r="K5" s="7" t="s">
        <v>28</v>
      </c>
    </row>
    <row r="6">
      <c r="A6" s="8" t="s">
        <v>170</v>
      </c>
      <c r="B6" s="8" t="s">
        <v>171</v>
      </c>
      <c r="C6" s="8" t="s">
        <v>173</v>
      </c>
      <c r="D6" s="8" t="s">
        <v>176</v>
      </c>
      <c r="E6" s="8" t="s">
        <v>177</v>
      </c>
      <c r="F6" s="8" t="s">
        <v>179</v>
      </c>
      <c r="G6" s="8" t="s">
        <v>180</v>
      </c>
      <c r="H6" s="8" t="s">
        <v>52</v>
      </c>
      <c r="I6" s="12">
        <v>46204.0</v>
      </c>
      <c r="J6" s="8" t="s">
        <v>54</v>
      </c>
      <c r="K6" s="8" t="s">
        <v>181</v>
      </c>
    </row>
    <row r="7">
      <c r="A7" s="8" t="s">
        <v>183</v>
      </c>
      <c r="B7" s="8" t="s">
        <v>185</v>
      </c>
      <c r="C7" s="8" t="s">
        <v>188</v>
      </c>
      <c r="D7" s="8" t="s">
        <v>189</v>
      </c>
      <c r="E7" s="8" t="s">
        <v>190</v>
      </c>
      <c r="F7" s="8" t="s">
        <v>191</v>
      </c>
      <c r="G7" s="8" t="s">
        <v>192</v>
      </c>
      <c r="H7" s="8" t="s">
        <v>52</v>
      </c>
      <c r="I7" s="12">
        <v>46205.0</v>
      </c>
      <c r="J7" s="8" t="s">
        <v>54</v>
      </c>
      <c r="K7" s="8" t="s">
        <v>197</v>
      </c>
    </row>
    <row r="8">
      <c r="A8" s="8" t="s">
        <v>199</v>
      </c>
      <c r="B8" s="8" t="s">
        <v>202</v>
      </c>
      <c r="C8" s="8" t="s">
        <v>205</v>
      </c>
      <c r="D8" s="8" t="s">
        <v>207</v>
      </c>
      <c r="E8" s="8" t="s">
        <v>208</v>
      </c>
      <c r="F8" s="8" t="s">
        <v>210</v>
      </c>
      <c r="G8" s="8" t="s">
        <v>211</v>
      </c>
      <c r="H8" s="8" t="s">
        <v>52</v>
      </c>
      <c r="I8" s="12">
        <v>46206.0</v>
      </c>
      <c r="J8" s="8" t="s">
        <v>54</v>
      </c>
      <c r="K8" s="8" t="s">
        <v>214</v>
      </c>
    </row>
    <row r="9">
      <c r="A9" s="8" t="s">
        <v>216</v>
      </c>
      <c r="B9" s="8" t="s">
        <v>218</v>
      </c>
      <c r="C9" s="8" t="s">
        <v>220</v>
      </c>
      <c r="D9" s="8" t="s">
        <v>176</v>
      </c>
      <c r="E9" s="8" t="s">
        <v>223</v>
      </c>
      <c r="F9" s="8" t="s">
        <v>224</v>
      </c>
      <c r="G9" s="8" t="s">
        <v>225</v>
      </c>
      <c r="H9" s="8" t="s">
        <v>52</v>
      </c>
      <c r="I9" s="12">
        <v>46207.0</v>
      </c>
      <c r="J9" s="8" t="s">
        <v>54</v>
      </c>
      <c r="K9" s="8" t="s">
        <v>227</v>
      </c>
    </row>
    <row r="10">
      <c r="A10" s="8" t="s">
        <v>230</v>
      </c>
      <c r="B10" s="8" t="s">
        <v>231</v>
      </c>
      <c r="C10" s="8" t="s">
        <v>232</v>
      </c>
      <c r="D10" s="8" t="s">
        <v>176</v>
      </c>
      <c r="E10" s="8" t="s">
        <v>234</v>
      </c>
      <c r="F10" s="8" t="s">
        <v>235</v>
      </c>
      <c r="G10" s="8" t="s">
        <v>237</v>
      </c>
      <c r="H10" s="8" t="s">
        <v>52</v>
      </c>
      <c r="I10" s="12">
        <v>46208.0</v>
      </c>
      <c r="J10" s="8" t="s">
        <v>54</v>
      </c>
      <c r="K10" s="8" t="s">
        <v>239</v>
      </c>
    </row>
    <row r="11">
      <c r="A11" s="8" t="s">
        <v>242</v>
      </c>
      <c r="B11" s="8" t="s">
        <v>243</v>
      </c>
      <c r="C11" s="8" t="s">
        <v>244</v>
      </c>
      <c r="D11" s="8" t="s">
        <v>95</v>
      </c>
      <c r="E11" s="8" t="s">
        <v>245</v>
      </c>
      <c r="F11" s="8" t="s">
        <v>246</v>
      </c>
      <c r="G11" s="8" t="s">
        <v>94</v>
      </c>
      <c r="H11" s="8" t="s">
        <v>52</v>
      </c>
      <c r="I11" s="12">
        <v>46209.0</v>
      </c>
      <c r="J11" s="8" t="s">
        <v>54</v>
      </c>
      <c r="K11" s="8" t="s">
        <v>249</v>
      </c>
    </row>
    <row r="12">
      <c r="A12" s="8" t="s">
        <v>251</v>
      </c>
      <c r="B12" s="8" t="s">
        <v>252</v>
      </c>
      <c r="C12" s="8" t="s">
        <v>253</v>
      </c>
      <c r="D12" s="8" t="s">
        <v>254</v>
      </c>
      <c r="E12" s="8" t="s">
        <v>255</v>
      </c>
      <c r="F12" s="8" t="s">
        <v>256</v>
      </c>
      <c r="G12" s="8" t="s">
        <v>257</v>
      </c>
      <c r="H12" s="8" t="s">
        <v>52</v>
      </c>
      <c r="I12" s="12">
        <v>46210.0</v>
      </c>
      <c r="J12" s="8" t="s">
        <v>122</v>
      </c>
      <c r="K12" s="8" t="s">
        <v>258</v>
      </c>
    </row>
    <row r="1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>
      <c r="A15" s="13" t="s">
        <v>259</v>
      </c>
    </row>
    <row r="16">
      <c r="A16" s="7" t="s">
        <v>260</v>
      </c>
      <c r="B16" s="7" t="s">
        <v>261</v>
      </c>
      <c r="C16" s="7" t="s">
        <v>262</v>
      </c>
      <c r="D16" s="4"/>
      <c r="E16" s="4"/>
      <c r="F16" s="4"/>
      <c r="G16" s="4"/>
      <c r="H16" s="4"/>
      <c r="I16" s="4"/>
      <c r="J16" s="4"/>
      <c r="K16" s="4"/>
    </row>
    <row r="17">
      <c r="A17" s="8" t="s">
        <v>263</v>
      </c>
      <c r="B17" s="8" t="s">
        <v>264</v>
      </c>
      <c r="C17" s="8" t="s">
        <v>265</v>
      </c>
      <c r="D17" s="4"/>
      <c r="E17" s="4"/>
      <c r="F17" s="4"/>
      <c r="G17" s="4"/>
      <c r="H17" s="4"/>
      <c r="I17" s="4"/>
      <c r="J17" s="4"/>
      <c r="K17" s="4"/>
    </row>
    <row r="18">
      <c r="A18" s="8" t="s">
        <v>266</v>
      </c>
      <c r="B18" s="8" t="s">
        <v>267</v>
      </c>
      <c r="C18" s="8" t="s">
        <v>268</v>
      </c>
      <c r="D18" s="4"/>
      <c r="E18" s="4"/>
      <c r="F18" s="4"/>
      <c r="G18" s="4"/>
      <c r="H18" s="4"/>
      <c r="I18" s="4"/>
      <c r="J18" s="4"/>
      <c r="K18" s="4"/>
    </row>
    <row r="19">
      <c r="A19" s="8" t="s">
        <v>269</v>
      </c>
      <c r="B19" s="8" t="s">
        <v>270</v>
      </c>
      <c r="C19" s="8" t="s">
        <v>271</v>
      </c>
      <c r="D19" s="4"/>
      <c r="E19" s="4"/>
      <c r="F19" s="4"/>
      <c r="G19" s="4"/>
      <c r="H19" s="4"/>
      <c r="I19" s="4"/>
      <c r="J19" s="4"/>
      <c r="K19" s="4"/>
    </row>
    <row r="20">
      <c r="A20" s="8" t="s">
        <v>272</v>
      </c>
      <c r="B20" s="8" t="s">
        <v>273</v>
      </c>
      <c r="C20" s="8" t="s">
        <v>274</v>
      </c>
      <c r="D20" s="4"/>
      <c r="E20" s="4"/>
      <c r="F20" s="4"/>
      <c r="G20" s="4"/>
      <c r="H20" s="4"/>
      <c r="I20" s="4"/>
      <c r="J20" s="4"/>
      <c r="K20" s="4"/>
    </row>
    <row r="21" ht="15.75" customHeight="1">
      <c r="A21" s="8" t="s">
        <v>275</v>
      </c>
      <c r="B21" s="8" t="s">
        <v>276</v>
      </c>
      <c r="C21" s="8" t="s">
        <v>277</v>
      </c>
      <c r="D21" s="4"/>
      <c r="E21" s="4"/>
      <c r="F21" s="4"/>
      <c r="G21" s="4"/>
      <c r="H21" s="4"/>
      <c r="I21" s="4"/>
      <c r="J21" s="4"/>
      <c r="K21" s="4"/>
    </row>
    <row r="22" ht="15.75" customHeight="1">
      <c r="A22" s="8" t="s">
        <v>279</v>
      </c>
      <c r="B22" s="8" t="s">
        <v>280</v>
      </c>
      <c r="C22" s="8" t="s">
        <v>281</v>
      </c>
      <c r="D22" s="4"/>
      <c r="E22" s="4"/>
      <c r="F22" s="4"/>
      <c r="G22" s="4"/>
      <c r="H22" s="4"/>
      <c r="I22" s="4"/>
      <c r="J22" s="4"/>
      <c r="K22" s="4"/>
    </row>
    <row r="23" ht="15.75" customHeight="1">
      <c r="A23" s="8" t="s">
        <v>283</v>
      </c>
      <c r="B23" s="8" t="s">
        <v>284</v>
      </c>
      <c r="C23" s="8" t="s">
        <v>285</v>
      </c>
      <c r="D23" s="4"/>
      <c r="E23" s="4"/>
      <c r="F23" s="4"/>
      <c r="G23" s="4"/>
      <c r="H23" s="4"/>
      <c r="I23" s="4"/>
      <c r="J23" s="4"/>
      <c r="K23" s="4"/>
    </row>
    <row r="24" ht="15.75" customHeight="1">
      <c r="A24" s="8" t="s">
        <v>289</v>
      </c>
      <c r="B24" s="8" t="s">
        <v>290</v>
      </c>
      <c r="C24" s="8" t="s">
        <v>291</v>
      </c>
      <c r="D24" s="4"/>
      <c r="E24" s="4"/>
      <c r="F24" s="4"/>
      <c r="G24" s="4"/>
      <c r="H24" s="4"/>
      <c r="I24" s="4"/>
      <c r="J24" s="4"/>
      <c r="K24" s="4"/>
    </row>
    <row r="25" ht="15.75" customHeight="1">
      <c r="A25" s="8" t="s">
        <v>296</v>
      </c>
      <c r="B25" s="8" t="s">
        <v>297</v>
      </c>
      <c r="C25" s="8" t="s">
        <v>299</v>
      </c>
      <c r="D25" s="4"/>
      <c r="E25" s="4"/>
      <c r="F25" s="4"/>
      <c r="G25" s="4"/>
      <c r="H25" s="4"/>
      <c r="I25" s="4"/>
      <c r="J25" s="4"/>
      <c r="K25" s="4"/>
    </row>
    <row r="26" ht="15.75" customHeight="1">
      <c r="A26" s="8" t="s">
        <v>302</v>
      </c>
      <c r="B26" s="8" t="s">
        <v>303</v>
      </c>
      <c r="C26" s="8" t="s">
        <v>305</v>
      </c>
      <c r="D26" s="4"/>
      <c r="E26" s="4"/>
      <c r="F26" s="4"/>
      <c r="G26" s="4"/>
      <c r="H26" s="4"/>
      <c r="I26" s="4"/>
      <c r="J26" s="4"/>
      <c r="K26" s="4"/>
    </row>
    <row r="27" ht="15.75" customHeight="1">
      <c r="A27" s="8" t="s">
        <v>309</v>
      </c>
      <c r="B27" s="8" t="s">
        <v>311</v>
      </c>
      <c r="C27" s="8" t="s">
        <v>312</v>
      </c>
      <c r="D27" s="4"/>
      <c r="E27" s="4"/>
      <c r="F27" s="4"/>
      <c r="G27" s="4"/>
      <c r="H27" s="4"/>
      <c r="I27" s="4"/>
      <c r="J27" s="4"/>
      <c r="K27" s="4"/>
    </row>
    <row r="28" ht="15.75" customHeight="1">
      <c r="A28" s="8" t="s">
        <v>317</v>
      </c>
      <c r="B28" s="8" t="s">
        <v>318</v>
      </c>
      <c r="C28" s="8" t="s">
        <v>319</v>
      </c>
      <c r="D28" s="4"/>
      <c r="E28" s="4"/>
      <c r="F28" s="4"/>
      <c r="G28" s="4"/>
      <c r="H28" s="4"/>
      <c r="I28" s="4"/>
      <c r="J28" s="4"/>
      <c r="K28" s="4"/>
    </row>
    <row r="29" ht="15.75" customHeight="1">
      <c r="A29" s="8" t="s">
        <v>323</v>
      </c>
      <c r="B29" s="8" t="s">
        <v>324</v>
      </c>
      <c r="C29" s="8" t="s">
        <v>325</v>
      </c>
      <c r="D29" s="4"/>
      <c r="E29" s="4"/>
      <c r="F29" s="4"/>
      <c r="G29" s="4"/>
      <c r="H29" s="4"/>
      <c r="I29" s="4"/>
      <c r="J29" s="4"/>
      <c r="K29" s="4"/>
    </row>
    <row r="30" ht="15.75" customHeight="1">
      <c r="A30" s="8" t="s">
        <v>330</v>
      </c>
      <c r="B30" s="8" t="s">
        <v>332</v>
      </c>
      <c r="C30" s="8" t="s">
        <v>334</v>
      </c>
      <c r="D30" s="4"/>
      <c r="E30" s="4"/>
      <c r="F30" s="4"/>
      <c r="G30" s="4"/>
      <c r="H30" s="4"/>
      <c r="I30" s="4"/>
      <c r="J30" s="4"/>
      <c r="K30" s="4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3:K3"/>
    <mergeCell ref="A15:K15"/>
  </mergeCells>
  <conditionalFormatting sqref="J6:J12">
    <cfRule type="expression" dxfId="0" priority="1">
      <formula>ISNUMBER(SEARCH("Final",J6))</formula>
    </cfRule>
  </conditionalFormatting>
  <conditionalFormatting sqref="J6:J12">
    <cfRule type="expression" dxfId="1" priority="2">
      <formula>ISNUMBER(SEARCH("Working",J6))</formula>
    </cfRule>
  </conditionalFormatting>
  <conditionalFormatting sqref="J6:J12">
    <cfRule type="expression" dxfId="2" priority="3">
      <formula>OR(ISNUMBER(SEARCH("TBC",J6)),ISNUMBER(SEARCH("confirm",J6)))</formula>
    </cfRule>
  </conditionalFormatting>
  <dataValidations>
    <dataValidation type="list" allowBlank="1" sqref="J6:J12">
      <formula1>"Final,Working,TBC"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6.0"/>
    <col customWidth="1" min="3" max="3" width="18.0"/>
    <col customWidth="1" min="4" max="4" width="17.0"/>
    <col customWidth="1" min="5" max="5" width="24.0"/>
    <col customWidth="1" min="6" max="6" width="40.0"/>
    <col customWidth="1" min="7" max="7" width="29.0"/>
    <col customWidth="1" min="8" max="8" width="48.0"/>
    <col customWidth="1" min="9" max="9" width="13.0"/>
    <col customWidth="1" min="10" max="10" width="12.0"/>
    <col customWidth="1" min="11" max="11" width="38.0"/>
    <col customWidth="1" min="12" max="26" width="8.63"/>
  </cols>
  <sheetData>
    <row r="1" ht="30.0" customHeight="1">
      <c r="A1" s="1" t="s">
        <v>169</v>
      </c>
    </row>
    <row r="2" ht="42.0" customHeight="1">
      <c r="A2" s="2" t="s">
        <v>178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ht="31.5" customHeight="1">
      <c r="A5" s="7" t="s">
        <v>12</v>
      </c>
      <c r="B5" s="7" t="s">
        <v>193</v>
      </c>
      <c r="C5" s="7" t="s">
        <v>194</v>
      </c>
      <c r="D5" s="7" t="s">
        <v>195</v>
      </c>
      <c r="E5" s="7" t="s">
        <v>198</v>
      </c>
      <c r="F5" s="7" t="s">
        <v>201</v>
      </c>
      <c r="G5" s="7" t="s">
        <v>204</v>
      </c>
      <c r="H5" s="7" t="s">
        <v>206</v>
      </c>
      <c r="I5" s="7" t="s">
        <v>24</v>
      </c>
      <c r="J5" s="7" t="s">
        <v>27</v>
      </c>
      <c r="K5" s="7" t="s">
        <v>28</v>
      </c>
    </row>
    <row r="6">
      <c r="A6" s="8" t="s">
        <v>212</v>
      </c>
      <c r="B6" s="8" t="s">
        <v>213</v>
      </c>
      <c r="C6" s="8" t="s">
        <v>20</v>
      </c>
      <c r="D6" s="8" t="s">
        <v>215</v>
      </c>
      <c r="E6" s="8" t="s">
        <v>217</v>
      </c>
      <c r="F6" s="8" t="s">
        <v>219</v>
      </c>
      <c r="G6" s="8" t="s">
        <v>221</v>
      </c>
      <c r="H6" s="8" t="s">
        <v>222</v>
      </c>
      <c r="I6" s="12">
        <v>46204.0</v>
      </c>
      <c r="J6" s="8" t="s">
        <v>54</v>
      </c>
      <c r="K6" s="8" t="s">
        <v>226</v>
      </c>
    </row>
    <row r="7">
      <c r="A7" s="8" t="s">
        <v>228</v>
      </c>
      <c r="B7" s="8" t="s">
        <v>229</v>
      </c>
      <c r="C7" s="8" t="s">
        <v>215</v>
      </c>
      <c r="D7" s="8" t="s">
        <v>215</v>
      </c>
      <c r="E7" s="8" t="s">
        <v>217</v>
      </c>
      <c r="F7" s="8" t="s">
        <v>233</v>
      </c>
      <c r="G7" s="8" t="s">
        <v>221</v>
      </c>
      <c r="H7" s="8" t="s">
        <v>236</v>
      </c>
      <c r="I7" s="12">
        <v>46205.0</v>
      </c>
      <c r="J7" s="8" t="s">
        <v>54</v>
      </c>
      <c r="K7" s="8" t="s">
        <v>238</v>
      </c>
    </row>
    <row r="8">
      <c r="A8" s="8" t="s">
        <v>240</v>
      </c>
      <c r="B8" s="8" t="s">
        <v>241</v>
      </c>
      <c r="C8" s="8" t="s">
        <v>95</v>
      </c>
      <c r="D8" s="8" t="s">
        <v>95</v>
      </c>
      <c r="E8" s="8" t="s">
        <v>95</v>
      </c>
      <c r="F8" s="8" t="s">
        <v>95</v>
      </c>
      <c r="G8" s="8" t="s">
        <v>247</v>
      </c>
      <c r="H8" s="8" t="s">
        <v>248</v>
      </c>
      <c r="I8" s="12">
        <v>46206.0</v>
      </c>
      <c r="J8" s="8" t="s">
        <v>54</v>
      </c>
      <c r="K8" s="8" t="s">
        <v>250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3:K3"/>
  </mergeCells>
  <conditionalFormatting sqref="J6:J8">
    <cfRule type="expression" dxfId="0" priority="1">
      <formula>ISNUMBER(SEARCH("Final",J6))</formula>
    </cfRule>
  </conditionalFormatting>
  <conditionalFormatting sqref="J6:J8">
    <cfRule type="expression" dxfId="1" priority="2">
      <formula>ISNUMBER(SEARCH("Working",J6))</formula>
    </cfRule>
  </conditionalFormatting>
  <conditionalFormatting sqref="J6:J8">
    <cfRule type="expression" dxfId="2" priority="3">
      <formula>OR(ISNUMBER(SEARCH("TBC",J6)),ISNUMBER(SEARCH("confirm",J6)))</formula>
    </cfRule>
  </conditionalFormatting>
  <dataValidations>
    <dataValidation type="list" allowBlank="1" sqref="J6:J8">
      <formula1>"Final,Working,TBC"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9.0"/>
    <col customWidth="1" min="3" max="3" width="45.0"/>
    <col customWidth="1" min="4" max="4" width="12.0"/>
    <col customWidth="1" min="5" max="5" width="42.0"/>
    <col customWidth="1" min="6" max="6" width="13.0"/>
    <col customWidth="1" min="7" max="7" width="12.0"/>
    <col customWidth="1" min="8" max="8" width="42.0"/>
    <col customWidth="1" min="9" max="26" width="8.63"/>
  </cols>
  <sheetData>
    <row r="1" ht="30.0" customHeight="1">
      <c r="A1" s="1" t="s">
        <v>278</v>
      </c>
    </row>
    <row r="2" ht="42.0" customHeight="1">
      <c r="A2" s="2" t="s">
        <v>282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</row>
    <row r="5" ht="31.5" customHeight="1">
      <c r="A5" s="7" t="s">
        <v>286</v>
      </c>
      <c r="B5" s="7" t="s">
        <v>287</v>
      </c>
      <c r="C5" s="7" t="s">
        <v>288</v>
      </c>
      <c r="D5" s="7" t="s">
        <v>13</v>
      </c>
      <c r="E5" s="7" t="s">
        <v>292</v>
      </c>
      <c r="F5" s="7" t="s">
        <v>24</v>
      </c>
      <c r="G5" s="7" t="s">
        <v>27</v>
      </c>
      <c r="H5" s="7" t="s">
        <v>28</v>
      </c>
    </row>
    <row r="6">
      <c r="A6" s="8" t="s">
        <v>293</v>
      </c>
      <c r="B6" s="8" t="s">
        <v>294</v>
      </c>
      <c r="C6" s="8" t="s">
        <v>295</v>
      </c>
      <c r="D6" s="10">
        <v>0.21</v>
      </c>
      <c r="E6" s="8" t="s">
        <v>298</v>
      </c>
      <c r="F6" s="8" t="s">
        <v>120</v>
      </c>
      <c r="G6" s="8" t="s">
        <v>54</v>
      </c>
      <c r="H6" s="8"/>
    </row>
    <row r="7">
      <c r="A7" s="8" t="s">
        <v>300</v>
      </c>
      <c r="B7" s="8" t="s">
        <v>195</v>
      </c>
      <c r="C7" s="8" t="s">
        <v>301</v>
      </c>
      <c r="D7" s="10">
        <v>0.21</v>
      </c>
      <c r="E7" s="8" t="s">
        <v>304</v>
      </c>
      <c r="F7" s="8" t="s">
        <v>120</v>
      </c>
      <c r="G7" s="8" t="s">
        <v>54</v>
      </c>
      <c r="H7" s="8"/>
    </row>
    <row r="8">
      <c r="A8" s="8" t="s">
        <v>306</v>
      </c>
      <c r="B8" s="8" t="s">
        <v>307</v>
      </c>
      <c r="C8" s="8" t="s">
        <v>308</v>
      </c>
      <c r="D8" s="10">
        <v>0.21</v>
      </c>
      <c r="E8" s="8" t="s">
        <v>310</v>
      </c>
      <c r="F8" s="8" t="s">
        <v>120</v>
      </c>
      <c r="G8" s="8" t="s">
        <v>54</v>
      </c>
      <c r="H8" s="8"/>
    </row>
    <row r="9">
      <c r="A9" s="8" t="s">
        <v>313</v>
      </c>
      <c r="B9" s="8" t="s">
        <v>314</v>
      </c>
      <c r="C9" s="8" t="s">
        <v>315</v>
      </c>
      <c r="D9" s="10">
        <v>0.21</v>
      </c>
      <c r="E9" s="8" t="s">
        <v>316</v>
      </c>
      <c r="F9" s="8" t="s">
        <v>120</v>
      </c>
      <c r="G9" s="8" t="s">
        <v>54</v>
      </c>
      <c r="H9" s="8"/>
    </row>
    <row r="10">
      <c r="A10" s="8" t="s">
        <v>320</v>
      </c>
      <c r="B10" s="8" t="s">
        <v>321</v>
      </c>
      <c r="C10" s="8" t="s">
        <v>322</v>
      </c>
      <c r="D10" s="10">
        <v>0.21</v>
      </c>
      <c r="E10" s="8" t="s">
        <v>316</v>
      </c>
      <c r="F10" s="8" t="s">
        <v>120</v>
      </c>
      <c r="G10" s="8" t="s">
        <v>54</v>
      </c>
      <c r="H10" s="8"/>
    </row>
    <row r="11">
      <c r="A11" s="8" t="s">
        <v>326</v>
      </c>
      <c r="B11" s="8" t="s">
        <v>327</v>
      </c>
      <c r="C11" s="8" t="s">
        <v>328</v>
      </c>
      <c r="D11" s="10">
        <v>0.21</v>
      </c>
      <c r="E11" s="8" t="s">
        <v>329</v>
      </c>
      <c r="F11" s="8" t="s">
        <v>120</v>
      </c>
      <c r="G11" s="8" t="s">
        <v>54</v>
      </c>
      <c r="H11" s="8" t="s">
        <v>331</v>
      </c>
    </row>
    <row r="12">
      <c r="A12" s="8" t="s">
        <v>333</v>
      </c>
      <c r="B12" s="8" t="s">
        <v>335</v>
      </c>
      <c r="C12" s="8" t="s">
        <v>336</v>
      </c>
      <c r="D12" s="10">
        <v>0.09</v>
      </c>
      <c r="E12" s="8" t="s">
        <v>337</v>
      </c>
      <c r="F12" s="8" t="s">
        <v>120</v>
      </c>
      <c r="G12" s="8" t="s">
        <v>54</v>
      </c>
      <c r="H12" s="8"/>
    </row>
    <row r="13">
      <c r="A13" s="8" t="s">
        <v>338</v>
      </c>
      <c r="B13" s="8" t="s">
        <v>339</v>
      </c>
      <c r="C13" s="8" t="s">
        <v>340</v>
      </c>
      <c r="D13" s="10">
        <v>0.09</v>
      </c>
      <c r="E13" s="8" t="s">
        <v>337</v>
      </c>
      <c r="F13" s="8" t="s">
        <v>120</v>
      </c>
      <c r="G13" s="8" t="s">
        <v>54</v>
      </c>
      <c r="H13" s="8"/>
    </row>
    <row r="14">
      <c r="A14" s="8" t="s">
        <v>341</v>
      </c>
      <c r="B14" s="8" t="s">
        <v>342</v>
      </c>
      <c r="C14" s="8" t="s">
        <v>343</v>
      </c>
      <c r="D14" s="10" t="s">
        <v>344</v>
      </c>
      <c r="E14" s="8" t="s">
        <v>345</v>
      </c>
      <c r="F14" s="8" t="s">
        <v>120</v>
      </c>
      <c r="G14" s="8" t="s">
        <v>54</v>
      </c>
      <c r="H14" s="8" t="s">
        <v>346</v>
      </c>
    </row>
    <row r="15">
      <c r="A15" s="8" t="s">
        <v>347</v>
      </c>
      <c r="B15" s="8" t="s">
        <v>348</v>
      </c>
      <c r="C15" s="8" t="s">
        <v>349</v>
      </c>
      <c r="D15" s="10">
        <v>0.21</v>
      </c>
      <c r="E15" s="8" t="s">
        <v>350</v>
      </c>
      <c r="F15" s="8" t="s">
        <v>120</v>
      </c>
      <c r="G15" s="8" t="s">
        <v>54</v>
      </c>
      <c r="H15" s="8"/>
    </row>
    <row r="16">
      <c r="A16" s="8" t="s">
        <v>351</v>
      </c>
      <c r="B16" s="8" t="s">
        <v>352</v>
      </c>
      <c r="C16" s="8" t="s">
        <v>353</v>
      </c>
      <c r="D16" s="10">
        <v>0.21</v>
      </c>
      <c r="E16" s="8" t="s">
        <v>354</v>
      </c>
      <c r="F16" s="8" t="s">
        <v>120</v>
      </c>
      <c r="G16" s="8" t="s">
        <v>54</v>
      </c>
      <c r="H16" s="8" t="s">
        <v>355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H1"/>
    <mergeCell ref="A2:H2"/>
    <mergeCell ref="A3:H3"/>
  </mergeCells>
  <conditionalFormatting sqref="G6:G16">
    <cfRule type="expression" dxfId="0" priority="1">
      <formula>ISNUMBER(SEARCH("Final",G6))</formula>
    </cfRule>
  </conditionalFormatting>
  <conditionalFormatting sqref="G6:G16">
    <cfRule type="expression" dxfId="1" priority="2">
      <formula>ISNUMBER(SEARCH("Working",G6))</formula>
    </cfRule>
  </conditionalFormatting>
  <conditionalFormatting sqref="G6:G16">
    <cfRule type="expression" dxfId="2" priority="3">
      <formula>OR(ISNUMBER(SEARCH("TBC",G6)),ISNUMBER(SEARCH("confirm",G6)))</formula>
    </cfRule>
  </conditionalFormatting>
  <dataValidations>
    <dataValidation type="list" allowBlank="1" sqref="G6:G16">
      <formula1>"Final,Working,TBC"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6.0"/>
    <col customWidth="1" min="3" max="3" width="20.0"/>
    <col customWidth="1" min="4" max="4" width="16.0"/>
    <col customWidth="1" min="5" max="5" width="14.0"/>
    <col customWidth="1" min="6" max="7" width="20.0"/>
    <col customWidth="1" min="8" max="8" width="14.0"/>
    <col customWidth="1" min="9" max="9" width="15.0"/>
    <col customWidth="1" min="10" max="10" width="17.0"/>
    <col customWidth="1" min="11" max="11" width="10.0"/>
    <col customWidth="1" min="12" max="12" width="17.0"/>
    <col customWidth="1" min="13" max="13" width="18.0"/>
    <col customWidth="1" min="14" max="14" width="22.0"/>
    <col customWidth="1" min="15" max="26" width="8.63"/>
  </cols>
  <sheetData>
    <row r="1" ht="30.0" customHeight="1">
      <c r="A1" s="1" t="s">
        <v>356</v>
      </c>
    </row>
    <row r="2" ht="42.0" customHeight="1">
      <c r="A2" s="2" t="s">
        <v>357</v>
      </c>
    </row>
    <row r="3" ht="27.75" customHeight="1">
      <c r="A3" s="3" t="s">
        <v>6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>
      <c r="A5" s="13" t="s">
        <v>358</v>
      </c>
    </row>
    <row r="6">
      <c r="A6" s="7" t="s">
        <v>12</v>
      </c>
      <c r="B6" s="7" t="s">
        <v>16</v>
      </c>
      <c r="C6" s="7" t="s">
        <v>359</v>
      </c>
      <c r="D6" s="21" t="s">
        <v>360</v>
      </c>
      <c r="E6" s="7" t="s">
        <v>361</v>
      </c>
      <c r="F6" s="7" t="s">
        <v>362</v>
      </c>
      <c r="G6" s="7" t="s">
        <v>13</v>
      </c>
      <c r="H6" s="7" t="s">
        <v>24</v>
      </c>
      <c r="I6" s="7" t="s">
        <v>27</v>
      </c>
      <c r="J6" s="7" t="s">
        <v>28</v>
      </c>
      <c r="K6" s="4"/>
      <c r="L6" s="4"/>
      <c r="M6" s="4"/>
      <c r="N6" s="4"/>
    </row>
    <row r="7">
      <c r="A7" s="8" t="s">
        <v>363</v>
      </c>
      <c r="B7" s="8" t="s">
        <v>364</v>
      </c>
      <c r="C7" s="9">
        <v>45.0</v>
      </c>
      <c r="D7" s="11" t="s">
        <v>365</v>
      </c>
      <c r="E7" s="8" t="s">
        <v>366</v>
      </c>
      <c r="F7" s="8" t="s">
        <v>367</v>
      </c>
      <c r="G7" s="10">
        <v>0.21</v>
      </c>
      <c r="H7" s="12">
        <v>46204.0</v>
      </c>
      <c r="I7" s="8" t="s">
        <v>54</v>
      </c>
      <c r="J7" s="8" t="s">
        <v>368</v>
      </c>
      <c r="K7" s="4"/>
      <c r="L7" s="4"/>
      <c r="M7" s="4"/>
      <c r="N7" s="4"/>
    </row>
    <row r="8">
      <c r="A8" s="11" t="s">
        <v>369</v>
      </c>
      <c r="B8" s="8" t="s">
        <v>364</v>
      </c>
      <c r="C8" s="22">
        <v>55.0</v>
      </c>
      <c r="D8" s="11" t="s">
        <v>370</v>
      </c>
      <c r="E8" s="8" t="s">
        <v>366</v>
      </c>
      <c r="F8" s="8" t="s">
        <v>367</v>
      </c>
      <c r="G8" s="10">
        <v>0.21</v>
      </c>
      <c r="H8" s="12">
        <v>46205.0</v>
      </c>
      <c r="I8" s="8" t="s">
        <v>54</v>
      </c>
      <c r="J8" s="8" t="s">
        <v>368</v>
      </c>
      <c r="K8" s="4"/>
      <c r="L8" s="4"/>
      <c r="M8" s="4"/>
      <c r="N8" s="4"/>
    </row>
    <row r="9">
      <c r="A9" s="11" t="s">
        <v>371</v>
      </c>
      <c r="B9" s="8" t="s">
        <v>364</v>
      </c>
      <c r="C9" s="22">
        <v>65.0</v>
      </c>
      <c r="D9" s="11" t="s">
        <v>372</v>
      </c>
      <c r="E9" s="8" t="s">
        <v>366</v>
      </c>
      <c r="F9" s="8" t="s">
        <v>367</v>
      </c>
      <c r="G9" s="10">
        <v>0.21</v>
      </c>
      <c r="H9" s="12">
        <v>46206.0</v>
      </c>
      <c r="I9" s="8" t="s">
        <v>54</v>
      </c>
      <c r="J9" s="8" t="s">
        <v>368</v>
      </c>
      <c r="K9" s="4"/>
      <c r="L9" s="4"/>
      <c r="M9" s="4"/>
      <c r="N9" s="4"/>
    </row>
    <row r="10">
      <c r="A10" s="11" t="s">
        <v>373</v>
      </c>
      <c r="B10" s="8" t="s">
        <v>364</v>
      </c>
      <c r="C10" s="22">
        <v>90.0</v>
      </c>
      <c r="D10" s="11" t="s">
        <v>374</v>
      </c>
      <c r="E10" s="8" t="s">
        <v>366</v>
      </c>
      <c r="F10" s="8" t="s">
        <v>367</v>
      </c>
      <c r="G10" s="10">
        <v>0.21</v>
      </c>
      <c r="H10" s="12">
        <v>46207.0</v>
      </c>
      <c r="I10" s="8" t="s">
        <v>54</v>
      </c>
      <c r="J10" s="8" t="s">
        <v>368</v>
      </c>
      <c r="K10" s="4"/>
      <c r="L10" s="4"/>
      <c r="M10" s="4"/>
      <c r="N10" s="4"/>
    </row>
    <row r="1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>
      <c r="A13" s="13" t="s">
        <v>375</v>
      </c>
    </row>
    <row r="14">
      <c r="A14" s="7" t="s">
        <v>376</v>
      </c>
      <c r="B14" s="7" t="s">
        <v>377</v>
      </c>
      <c r="C14" s="7" t="s">
        <v>378</v>
      </c>
      <c r="D14" s="7" t="s">
        <v>359</v>
      </c>
      <c r="E14" s="7" t="s">
        <v>379</v>
      </c>
      <c r="F14" s="7" t="s">
        <v>380</v>
      </c>
      <c r="G14" s="7" t="s">
        <v>381</v>
      </c>
      <c r="H14" s="7" t="s">
        <v>382</v>
      </c>
      <c r="I14" s="7" t="s">
        <v>383</v>
      </c>
      <c r="J14" s="7" t="s">
        <v>384</v>
      </c>
      <c r="K14" s="7" t="s">
        <v>13</v>
      </c>
      <c r="L14" s="7" t="s">
        <v>385</v>
      </c>
      <c r="M14" s="7" t="s">
        <v>386</v>
      </c>
      <c r="N14" s="7" t="s">
        <v>387</v>
      </c>
    </row>
    <row r="15">
      <c r="A15" s="8" t="s">
        <v>388</v>
      </c>
      <c r="B15" s="8"/>
      <c r="C15" s="8"/>
      <c r="D15" s="9">
        <v>45.0</v>
      </c>
      <c r="E15" s="23"/>
      <c r="F15" s="24"/>
      <c r="G15" s="24"/>
      <c r="H15" s="24"/>
      <c r="I15" s="25" t="str">
        <f t="shared" ref="I15:I39" si="1">IF(OR(F15="",H15=""),"",H15-F15)</f>
        <v/>
      </c>
      <c r="J15" s="9" t="str">
        <f t="shared" ref="J15:J39" si="2">IF(OR(D15="",E15=""),"",D15*E15)</f>
        <v/>
      </c>
      <c r="K15" s="10">
        <v>0.21</v>
      </c>
      <c r="L15" s="9" t="str">
        <f t="shared" ref="L15:L39" si="3">IF(OR(J15="",K15=""),"",J15*(1+K15))</f>
        <v/>
      </c>
      <c r="M15" s="8" t="s">
        <v>389</v>
      </c>
      <c r="N15" s="24"/>
    </row>
    <row r="16">
      <c r="A16" s="8" t="s">
        <v>390</v>
      </c>
      <c r="B16" s="8"/>
      <c r="C16" s="8"/>
      <c r="D16" s="9">
        <v>45.0</v>
      </c>
      <c r="E16" s="23"/>
      <c r="F16" s="24"/>
      <c r="G16" s="24"/>
      <c r="H16" s="24"/>
      <c r="I16" s="25" t="str">
        <f t="shared" si="1"/>
        <v/>
      </c>
      <c r="J16" s="9" t="str">
        <f t="shared" si="2"/>
        <v/>
      </c>
      <c r="K16" s="10">
        <v>0.21</v>
      </c>
      <c r="L16" s="9" t="str">
        <f t="shared" si="3"/>
        <v/>
      </c>
      <c r="M16" s="8" t="s">
        <v>389</v>
      </c>
      <c r="N16" s="24"/>
    </row>
    <row r="17">
      <c r="A17" s="8" t="s">
        <v>391</v>
      </c>
      <c r="B17" s="8"/>
      <c r="C17" s="8"/>
      <c r="D17" s="9">
        <v>45.0</v>
      </c>
      <c r="E17" s="23"/>
      <c r="F17" s="24"/>
      <c r="G17" s="24"/>
      <c r="H17" s="24"/>
      <c r="I17" s="25" t="str">
        <f t="shared" si="1"/>
        <v/>
      </c>
      <c r="J17" s="9" t="str">
        <f t="shared" si="2"/>
        <v/>
      </c>
      <c r="K17" s="10">
        <v>0.21</v>
      </c>
      <c r="L17" s="9" t="str">
        <f t="shared" si="3"/>
        <v/>
      </c>
      <c r="M17" s="8" t="s">
        <v>389</v>
      </c>
      <c r="N17" s="24"/>
    </row>
    <row r="18">
      <c r="A18" s="8" t="s">
        <v>392</v>
      </c>
      <c r="B18" s="8"/>
      <c r="C18" s="8"/>
      <c r="D18" s="9">
        <v>45.0</v>
      </c>
      <c r="E18" s="23"/>
      <c r="F18" s="24"/>
      <c r="G18" s="24"/>
      <c r="H18" s="24"/>
      <c r="I18" s="25" t="str">
        <f t="shared" si="1"/>
        <v/>
      </c>
      <c r="J18" s="9" t="str">
        <f t="shared" si="2"/>
        <v/>
      </c>
      <c r="K18" s="10">
        <v>0.21</v>
      </c>
      <c r="L18" s="9" t="str">
        <f t="shared" si="3"/>
        <v/>
      </c>
      <c r="M18" s="8" t="s">
        <v>389</v>
      </c>
      <c r="N18" s="24"/>
    </row>
    <row r="19">
      <c r="A19" s="8" t="s">
        <v>393</v>
      </c>
      <c r="B19" s="8"/>
      <c r="C19" s="8"/>
      <c r="D19" s="9">
        <v>45.0</v>
      </c>
      <c r="E19" s="23"/>
      <c r="F19" s="24"/>
      <c r="G19" s="24"/>
      <c r="H19" s="24"/>
      <c r="I19" s="25" t="str">
        <f t="shared" si="1"/>
        <v/>
      </c>
      <c r="J19" s="9" t="str">
        <f t="shared" si="2"/>
        <v/>
      </c>
      <c r="K19" s="10">
        <v>0.21</v>
      </c>
      <c r="L19" s="9" t="str">
        <f t="shared" si="3"/>
        <v/>
      </c>
      <c r="M19" s="8" t="s">
        <v>389</v>
      </c>
      <c r="N19" s="24"/>
    </row>
    <row r="20">
      <c r="A20" s="8" t="s">
        <v>394</v>
      </c>
      <c r="B20" s="8"/>
      <c r="C20" s="8"/>
      <c r="D20" s="9">
        <v>45.0</v>
      </c>
      <c r="E20" s="23"/>
      <c r="F20" s="24"/>
      <c r="G20" s="24"/>
      <c r="H20" s="24"/>
      <c r="I20" s="25" t="str">
        <f t="shared" si="1"/>
        <v/>
      </c>
      <c r="J20" s="9" t="str">
        <f t="shared" si="2"/>
        <v/>
      </c>
      <c r="K20" s="10">
        <v>0.21</v>
      </c>
      <c r="L20" s="9" t="str">
        <f t="shared" si="3"/>
        <v/>
      </c>
      <c r="M20" s="8" t="s">
        <v>389</v>
      </c>
      <c r="N20" s="24"/>
    </row>
    <row r="21">
      <c r="A21" s="8" t="s">
        <v>395</v>
      </c>
      <c r="B21" s="8"/>
      <c r="C21" s="8"/>
      <c r="D21" s="9">
        <v>45.0</v>
      </c>
      <c r="E21" s="23"/>
      <c r="F21" s="24"/>
      <c r="G21" s="24"/>
      <c r="H21" s="24"/>
      <c r="I21" s="25" t="str">
        <f t="shared" si="1"/>
        <v/>
      </c>
      <c r="J21" s="9" t="str">
        <f t="shared" si="2"/>
        <v/>
      </c>
      <c r="K21" s="10">
        <v>0.21</v>
      </c>
      <c r="L21" s="9" t="str">
        <f t="shared" si="3"/>
        <v/>
      </c>
      <c r="M21" s="8" t="s">
        <v>389</v>
      </c>
      <c r="N21" s="24"/>
    </row>
    <row r="22">
      <c r="A22" s="8" t="s">
        <v>396</v>
      </c>
      <c r="B22" s="8"/>
      <c r="C22" s="8"/>
      <c r="D22" s="9">
        <v>45.0</v>
      </c>
      <c r="E22" s="23"/>
      <c r="F22" s="24"/>
      <c r="G22" s="24"/>
      <c r="H22" s="24"/>
      <c r="I22" s="25" t="str">
        <f t="shared" si="1"/>
        <v/>
      </c>
      <c r="J22" s="9" t="str">
        <f t="shared" si="2"/>
        <v/>
      </c>
      <c r="K22" s="10">
        <v>0.21</v>
      </c>
      <c r="L22" s="9" t="str">
        <f t="shared" si="3"/>
        <v/>
      </c>
      <c r="M22" s="8" t="s">
        <v>389</v>
      </c>
      <c r="N22" s="24"/>
    </row>
    <row r="23">
      <c r="A23" s="8" t="s">
        <v>397</v>
      </c>
      <c r="B23" s="8"/>
      <c r="C23" s="8"/>
      <c r="D23" s="9">
        <v>45.0</v>
      </c>
      <c r="E23" s="23"/>
      <c r="F23" s="24"/>
      <c r="G23" s="24"/>
      <c r="H23" s="24"/>
      <c r="I23" s="25" t="str">
        <f t="shared" si="1"/>
        <v/>
      </c>
      <c r="J23" s="9" t="str">
        <f t="shared" si="2"/>
        <v/>
      </c>
      <c r="K23" s="10">
        <v>0.21</v>
      </c>
      <c r="L23" s="9" t="str">
        <f t="shared" si="3"/>
        <v/>
      </c>
      <c r="M23" s="8" t="s">
        <v>389</v>
      </c>
      <c r="N23" s="24"/>
    </row>
    <row r="24" ht="15.75" customHeight="1">
      <c r="A24" s="8" t="s">
        <v>398</v>
      </c>
      <c r="B24" s="8"/>
      <c r="C24" s="8"/>
      <c r="D24" s="9">
        <v>45.0</v>
      </c>
      <c r="E24" s="23"/>
      <c r="F24" s="24"/>
      <c r="G24" s="24"/>
      <c r="H24" s="24"/>
      <c r="I24" s="25" t="str">
        <f t="shared" si="1"/>
        <v/>
      </c>
      <c r="J24" s="9" t="str">
        <f t="shared" si="2"/>
        <v/>
      </c>
      <c r="K24" s="10">
        <v>0.21</v>
      </c>
      <c r="L24" s="9" t="str">
        <f t="shared" si="3"/>
        <v/>
      </c>
      <c r="M24" s="8" t="s">
        <v>389</v>
      </c>
      <c r="N24" s="24"/>
    </row>
    <row r="25" ht="15.75" customHeight="1">
      <c r="A25" s="8" t="s">
        <v>399</v>
      </c>
      <c r="B25" s="8"/>
      <c r="C25" s="8"/>
      <c r="D25" s="9">
        <v>45.0</v>
      </c>
      <c r="E25" s="23"/>
      <c r="F25" s="24"/>
      <c r="G25" s="24"/>
      <c r="H25" s="24"/>
      <c r="I25" s="25" t="str">
        <f t="shared" si="1"/>
        <v/>
      </c>
      <c r="J25" s="9" t="str">
        <f t="shared" si="2"/>
        <v/>
      </c>
      <c r="K25" s="10">
        <v>0.21</v>
      </c>
      <c r="L25" s="9" t="str">
        <f t="shared" si="3"/>
        <v/>
      </c>
      <c r="M25" s="8" t="s">
        <v>389</v>
      </c>
      <c r="N25" s="24"/>
    </row>
    <row r="26" ht="15.75" customHeight="1">
      <c r="A26" s="8" t="s">
        <v>400</v>
      </c>
      <c r="B26" s="8"/>
      <c r="C26" s="8"/>
      <c r="D26" s="9">
        <v>45.0</v>
      </c>
      <c r="E26" s="23"/>
      <c r="F26" s="24"/>
      <c r="G26" s="24"/>
      <c r="H26" s="24"/>
      <c r="I26" s="25" t="str">
        <f t="shared" si="1"/>
        <v/>
      </c>
      <c r="J26" s="9" t="str">
        <f t="shared" si="2"/>
        <v/>
      </c>
      <c r="K26" s="10">
        <v>0.21</v>
      </c>
      <c r="L26" s="9" t="str">
        <f t="shared" si="3"/>
        <v/>
      </c>
      <c r="M26" s="8" t="s">
        <v>389</v>
      </c>
      <c r="N26" s="24"/>
    </row>
    <row r="27" ht="15.75" customHeight="1">
      <c r="A27" s="8" t="s">
        <v>401</v>
      </c>
      <c r="B27" s="8"/>
      <c r="C27" s="8"/>
      <c r="D27" s="9">
        <v>45.0</v>
      </c>
      <c r="E27" s="23"/>
      <c r="F27" s="24"/>
      <c r="G27" s="24"/>
      <c r="H27" s="24"/>
      <c r="I27" s="25" t="str">
        <f t="shared" si="1"/>
        <v/>
      </c>
      <c r="J27" s="9" t="str">
        <f t="shared" si="2"/>
        <v/>
      </c>
      <c r="K27" s="10">
        <v>0.21</v>
      </c>
      <c r="L27" s="9" t="str">
        <f t="shared" si="3"/>
        <v/>
      </c>
      <c r="M27" s="8" t="s">
        <v>389</v>
      </c>
      <c r="N27" s="24"/>
    </row>
    <row r="28" ht="15.75" customHeight="1">
      <c r="A28" s="8" t="s">
        <v>402</v>
      </c>
      <c r="B28" s="8"/>
      <c r="C28" s="8"/>
      <c r="D28" s="9">
        <v>45.0</v>
      </c>
      <c r="E28" s="23"/>
      <c r="F28" s="24"/>
      <c r="G28" s="24"/>
      <c r="H28" s="24"/>
      <c r="I28" s="25" t="str">
        <f t="shared" si="1"/>
        <v/>
      </c>
      <c r="J28" s="9" t="str">
        <f t="shared" si="2"/>
        <v/>
      </c>
      <c r="K28" s="10">
        <v>0.21</v>
      </c>
      <c r="L28" s="9" t="str">
        <f t="shared" si="3"/>
        <v/>
      </c>
      <c r="M28" s="8" t="s">
        <v>389</v>
      </c>
      <c r="N28" s="24"/>
    </row>
    <row r="29" ht="15.75" customHeight="1">
      <c r="A29" s="8" t="s">
        <v>403</v>
      </c>
      <c r="B29" s="8"/>
      <c r="C29" s="8"/>
      <c r="D29" s="9">
        <v>45.0</v>
      </c>
      <c r="E29" s="23"/>
      <c r="F29" s="24"/>
      <c r="G29" s="24"/>
      <c r="H29" s="24"/>
      <c r="I29" s="25" t="str">
        <f t="shared" si="1"/>
        <v/>
      </c>
      <c r="J29" s="9" t="str">
        <f t="shared" si="2"/>
        <v/>
      </c>
      <c r="K29" s="10">
        <v>0.21</v>
      </c>
      <c r="L29" s="9" t="str">
        <f t="shared" si="3"/>
        <v/>
      </c>
      <c r="M29" s="8" t="s">
        <v>389</v>
      </c>
      <c r="N29" s="24"/>
    </row>
    <row r="30" ht="15.75" customHeight="1">
      <c r="A30" s="8" t="s">
        <v>404</v>
      </c>
      <c r="B30" s="8"/>
      <c r="C30" s="8"/>
      <c r="D30" s="9">
        <v>45.0</v>
      </c>
      <c r="E30" s="23"/>
      <c r="F30" s="24"/>
      <c r="G30" s="24"/>
      <c r="H30" s="24"/>
      <c r="I30" s="25" t="str">
        <f t="shared" si="1"/>
        <v/>
      </c>
      <c r="J30" s="9" t="str">
        <f t="shared" si="2"/>
        <v/>
      </c>
      <c r="K30" s="10">
        <v>0.21</v>
      </c>
      <c r="L30" s="9" t="str">
        <f t="shared" si="3"/>
        <v/>
      </c>
      <c r="M30" s="8" t="s">
        <v>389</v>
      </c>
      <c r="N30" s="24"/>
    </row>
    <row r="31" ht="15.75" customHeight="1">
      <c r="A31" s="8" t="s">
        <v>405</v>
      </c>
      <c r="B31" s="8"/>
      <c r="C31" s="8"/>
      <c r="D31" s="9">
        <v>45.0</v>
      </c>
      <c r="E31" s="23"/>
      <c r="F31" s="24"/>
      <c r="G31" s="24"/>
      <c r="H31" s="24"/>
      <c r="I31" s="25" t="str">
        <f t="shared" si="1"/>
        <v/>
      </c>
      <c r="J31" s="9" t="str">
        <f t="shared" si="2"/>
        <v/>
      </c>
      <c r="K31" s="10">
        <v>0.21</v>
      </c>
      <c r="L31" s="9" t="str">
        <f t="shared" si="3"/>
        <v/>
      </c>
      <c r="M31" s="8" t="s">
        <v>389</v>
      </c>
      <c r="N31" s="24"/>
    </row>
    <row r="32" ht="15.75" customHeight="1">
      <c r="A32" s="8" t="s">
        <v>406</v>
      </c>
      <c r="B32" s="8"/>
      <c r="C32" s="8"/>
      <c r="D32" s="9">
        <v>45.0</v>
      </c>
      <c r="E32" s="23"/>
      <c r="F32" s="24"/>
      <c r="G32" s="24"/>
      <c r="H32" s="24"/>
      <c r="I32" s="25" t="str">
        <f t="shared" si="1"/>
        <v/>
      </c>
      <c r="J32" s="9" t="str">
        <f t="shared" si="2"/>
        <v/>
      </c>
      <c r="K32" s="10">
        <v>0.21</v>
      </c>
      <c r="L32" s="9" t="str">
        <f t="shared" si="3"/>
        <v/>
      </c>
      <c r="M32" s="8" t="s">
        <v>389</v>
      </c>
      <c r="N32" s="24"/>
    </row>
    <row r="33" ht="15.75" customHeight="1">
      <c r="A33" s="8" t="s">
        <v>407</v>
      </c>
      <c r="B33" s="8"/>
      <c r="C33" s="8"/>
      <c r="D33" s="9">
        <v>45.0</v>
      </c>
      <c r="E33" s="23"/>
      <c r="F33" s="24"/>
      <c r="G33" s="24"/>
      <c r="H33" s="24"/>
      <c r="I33" s="25" t="str">
        <f t="shared" si="1"/>
        <v/>
      </c>
      <c r="J33" s="9" t="str">
        <f t="shared" si="2"/>
        <v/>
      </c>
      <c r="K33" s="10">
        <v>0.21</v>
      </c>
      <c r="L33" s="9" t="str">
        <f t="shared" si="3"/>
        <v/>
      </c>
      <c r="M33" s="8" t="s">
        <v>389</v>
      </c>
      <c r="N33" s="24"/>
    </row>
    <row r="34" ht="15.75" customHeight="1">
      <c r="A34" s="8" t="s">
        <v>408</v>
      </c>
      <c r="B34" s="8"/>
      <c r="C34" s="8"/>
      <c r="D34" s="9">
        <v>45.0</v>
      </c>
      <c r="E34" s="23"/>
      <c r="F34" s="24"/>
      <c r="G34" s="24"/>
      <c r="H34" s="24"/>
      <c r="I34" s="25" t="str">
        <f t="shared" si="1"/>
        <v/>
      </c>
      <c r="J34" s="9" t="str">
        <f t="shared" si="2"/>
        <v/>
      </c>
      <c r="K34" s="10">
        <v>0.21</v>
      </c>
      <c r="L34" s="9" t="str">
        <f t="shared" si="3"/>
        <v/>
      </c>
      <c r="M34" s="8" t="s">
        <v>389</v>
      </c>
      <c r="N34" s="24"/>
    </row>
    <row r="35" ht="15.75" customHeight="1">
      <c r="A35" s="8" t="s">
        <v>409</v>
      </c>
      <c r="B35" s="8"/>
      <c r="C35" s="8"/>
      <c r="D35" s="9">
        <v>45.0</v>
      </c>
      <c r="E35" s="23"/>
      <c r="F35" s="24"/>
      <c r="G35" s="24"/>
      <c r="H35" s="24"/>
      <c r="I35" s="25" t="str">
        <f t="shared" si="1"/>
        <v/>
      </c>
      <c r="J35" s="9" t="str">
        <f t="shared" si="2"/>
        <v/>
      </c>
      <c r="K35" s="10">
        <v>0.21</v>
      </c>
      <c r="L35" s="9" t="str">
        <f t="shared" si="3"/>
        <v/>
      </c>
      <c r="M35" s="8" t="s">
        <v>389</v>
      </c>
      <c r="N35" s="24"/>
    </row>
    <row r="36" ht="15.75" customHeight="1">
      <c r="A36" s="8" t="s">
        <v>410</v>
      </c>
      <c r="B36" s="8"/>
      <c r="C36" s="8"/>
      <c r="D36" s="9">
        <v>45.0</v>
      </c>
      <c r="E36" s="23"/>
      <c r="F36" s="24"/>
      <c r="G36" s="24"/>
      <c r="H36" s="24"/>
      <c r="I36" s="25" t="str">
        <f t="shared" si="1"/>
        <v/>
      </c>
      <c r="J36" s="9" t="str">
        <f t="shared" si="2"/>
        <v/>
      </c>
      <c r="K36" s="10">
        <v>0.21</v>
      </c>
      <c r="L36" s="9" t="str">
        <f t="shared" si="3"/>
        <v/>
      </c>
      <c r="M36" s="8" t="s">
        <v>389</v>
      </c>
      <c r="N36" s="24"/>
    </row>
    <row r="37" ht="15.75" customHeight="1">
      <c r="A37" s="8" t="s">
        <v>411</v>
      </c>
      <c r="B37" s="8"/>
      <c r="C37" s="8"/>
      <c r="D37" s="9">
        <v>45.0</v>
      </c>
      <c r="E37" s="23"/>
      <c r="F37" s="24"/>
      <c r="G37" s="24"/>
      <c r="H37" s="24"/>
      <c r="I37" s="25" t="str">
        <f t="shared" si="1"/>
        <v/>
      </c>
      <c r="J37" s="9" t="str">
        <f t="shared" si="2"/>
        <v/>
      </c>
      <c r="K37" s="10">
        <v>0.21</v>
      </c>
      <c r="L37" s="9" t="str">
        <f t="shared" si="3"/>
        <v/>
      </c>
      <c r="M37" s="8" t="s">
        <v>389</v>
      </c>
      <c r="N37" s="24"/>
    </row>
    <row r="38" ht="15.75" customHeight="1">
      <c r="A38" s="8" t="s">
        <v>412</v>
      </c>
      <c r="B38" s="8"/>
      <c r="C38" s="8"/>
      <c r="D38" s="9">
        <v>45.0</v>
      </c>
      <c r="E38" s="23"/>
      <c r="F38" s="24"/>
      <c r="G38" s="24"/>
      <c r="H38" s="24"/>
      <c r="I38" s="25" t="str">
        <f t="shared" si="1"/>
        <v/>
      </c>
      <c r="J38" s="9" t="str">
        <f t="shared" si="2"/>
        <v/>
      </c>
      <c r="K38" s="10">
        <v>0.21</v>
      </c>
      <c r="L38" s="9" t="str">
        <f t="shared" si="3"/>
        <v/>
      </c>
      <c r="M38" s="8" t="s">
        <v>389</v>
      </c>
      <c r="N38" s="24"/>
    </row>
    <row r="39" ht="15.75" customHeight="1">
      <c r="A39" s="8" t="s">
        <v>413</v>
      </c>
      <c r="B39" s="8"/>
      <c r="C39" s="8"/>
      <c r="D39" s="9">
        <v>45.0</v>
      </c>
      <c r="E39" s="23"/>
      <c r="F39" s="24"/>
      <c r="G39" s="24"/>
      <c r="H39" s="24"/>
      <c r="I39" s="25" t="str">
        <f t="shared" si="1"/>
        <v/>
      </c>
      <c r="J39" s="9" t="str">
        <f t="shared" si="2"/>
        <v/>
      </c>
      <c r="K39" s="10">
        <v>0.21</v>
      </c>
      <c r="L39" s="9" t="str">
        <f t="shared" si="3"/>
        <v/>
      </c>
      <c r="M39" s="8" t="s">
        <v>389</v>
      </c>
      <c r="N39" s="24"/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5">
    <mergeCell ref="A1:N1"/>
    <mergeCell ref="A2:N2"/>
    <mergeCell ref="A3:N3"/>
    <mergeCell ref="A5:N5"/>
    <mergeCell ref="A13:N13"/>
  </mergeCells>
  <conditionalFormatting sqref="I7:I10">
    <cfRule type="expression" dxfId="0" priority="1">
      <formula>ISNUMBER(SEARCH("Final",I7))</formula>
    </cfRule>
  </conditionalFormatting>
  <conditionalFormatting sqref="I7:I10">
    <cfRule type="expression" dxfId="1" priority="2">
      <formula>ISNUMBER(SEARCH("Working",I7))</formula>
    </cfRule>
  </conditionalFormatting>
  <conditionalFormatting sqref="I7:I10">
    <cfRule type="expression" dxfId="2" priority="3">
      <formula>OR(ISNUMBER(SEARCH("TBC",I7)),ISNUMBER(SEARCH("confirm",I7)))</formula>
    </cfRule>
  </conditionalFormatting>
  <conditionalFormatting sqref="M15:M39">
    <cfRule type="expression" dxfId="0" priority="4">
      <formula>M15="Yes"</formula>
    </cfRule>
  </conditionalFormatting>
  <conditionalFormatting sqref="M15:M39">
    <cfRule type="expression" dxfId="1" priority="5">
      <formula>M15="Pending"</formula>
    </cfRule>
  </conditionalFormatting>
  <conditionalFormatting sqref="M15:M39">
    <cfRule type="expression" dxfId="2" priority="6">
      <formula>M15="No"</formula>
    </cfRule>
  </conditionalFormatting>
  <dataValidations>
    <dataValidation type="list" allowBlank="1" sqref="M15:M39">
      <formula1>"Pending,Yes,No,Not applicable"</formula1>
    </dataValidation>
  </dataValidations>
  <printOptions/>
  <pageMargins bottom="0.75" footer="0.0" header="0.0" left="0.7" right="0.7" top="0.75"/>
  <pageSetup orientation="landscape"/>
  <drawing r:id="rId1"/>
</worksheet>
</file>